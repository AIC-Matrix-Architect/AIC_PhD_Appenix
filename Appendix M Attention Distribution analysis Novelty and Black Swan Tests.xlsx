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hal1e20\OneDrive - University of Southampton\Final Thesis\Thesis_production\examination_report_corrections\Appendices Exam\"/>
    </mc:Choice>
  </mc:AlternateContent>
  <xr:revisionPtr revIDLastSave="0" documentId="13_ncr:1_{158EF96C-63D2-4831-AE80-F416C0D5B3A3}" xr6:coauthVersionLast="47" xr6:coauthVersionMax="47" xr10:uidLastSave="{00000000-0000-0000-0000-000000000000}"/>
  <bookViews>
    <workbookView xWindow="-120" yWindow="-120" windowWidth="29040" windowHeight="15840" tabRatio="906" activeTab="5" xr2:uid="{6265F3DF-F88A-4A3E-809B-13770EA46ABA}"/>
  </bookViews>
  <sheets>
    <sheet name="HAZOP" sheetId="1" r:id="rId1"/>
    <sheet name="STAMP" sheetId="2" r:id="rId2"/>
    <sheet name="FRAM" sheetId="3" r:id="rId3"/>
    <sheet name="AIC_case_1" sheetId="4" r:id="rId4"/>
    <sheet name="AIC_case_2" sheetId="14" r:id="rId5"/>
    <sheet name="Appendix A Land+Air ODD" sheetId="15" r:id="rId6"/>
  </sheets>
  <definedNames>
    <definedName name="_xlnm._FilterDatabase" localSheetId="3" hidden="1">AIC_case_1!$B$15:$M$148</definedName>
    <definedName name="_xlnm._FilterDatabase" localSheetId="4" hidden="1">AIC_case_2!$J$15:$J$117</definedName>
    <definedName name="_xlnm._FilterDatabase" localSheetId="2" hidden="1">FRAM!$D$15:$D$175</definedName>
    <definedName name="_xlnm._FilterDatabase" localSheetId="0" hidden="1">HAZOP!$D$15:$D$108</definedName>
    <definedName name="_xlnm._FilterDatabase" localSheetId="1" hidden="1">STAMP!$D$15:$D$96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5" i="3" l="1"/>
  <c r="K116" i="3"/>
  <c r="K117" i="3"/>
  <c r="K118" i="3"/>
  <c r="K119"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20" i="3"/>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6" i="14"/>
  <c r="G17" i="14"/>
  <c r="J17" i="14" s="1"/>
  <c r="G18" i="14"/>
  <c r="J18" i="14" s="1"/>
  <c r="G19" i="14"/>
  <c r="G20" i="14"/>
  <c r="G21" i="14"/>
  <c r="J21" i="14" s="1"/>
  <c r="G22" i="14"/>
  <c r="J22" i="14" s="1"/>
  <c r="G23" i="14"/>
  <c r="J23" i="14" s="1"/>
  <c r="G24" i="14"/>
  <c r="J24" i="14" s="1"/>
  <c r="G25" i="14"/>
  <c r="J25" i="14" s="1"/>
  <c r="G26" i="14"/>
  <c r="G27" i="14"/>
  <c r="J27" i="14" s="1"/>
  <c r="G28" i="14"/>
  <c r="J28" i="14" s="1"/>
  <c r="G29" i="14"/>
  <c r="J29" i="14" s="1"/>
  <c r="G30" i="14"/>
  <c r="J30" i="14" s="1"/>
  <c r="G31" i="14"/>
  <c r="G32" i="14"/>
  <c r="J32" i="14" s="1"/>
  <c r="G33" i="14"/>
  <c r="J33" i="14" s="1"/>
  <c r="G34" i="14"/>
  <c r="J34" i="14" s="1"/>
  <c r="G35" i="14"/>
  <c r="G36" i="14"/>
  <c r="J36" i="14" s="1"/>
  <c r="G37" i="14"/>
  <c r="J37" i="14" s="1"/>
  <c r="G38" i="14"/>
  <c r="J38" i="14" s="1"/>
  <c r="G39" i="14"/>
  <c r="J39" i="14" s="1"/>
  <c r="G40" i="14"/>
  <c r="J40" i="14" s="1"/>
  <c r="G41" i="14"/>
  <c r="J41" i="14" s="1"/>
  <c r="G42" i="14"/>
  <c r="J42" i="14" s="1"/>
  <c r="G43" i="14"/>
  <c r="G44" i="14"/>
  <c r="J44" i="14" s="1"/>
  <c r="G45" i="14"/>
  <c r="J45" i="14" s="1"/>
  <c r="G46" i="14"/>
  <c r="J46" i="14" s="1"/>
  <c r="G47" i="14"/>
  <c r="J47" i="14" s="1"/>
  <c r="G48" i="14"/>
  <c r="J48" i="14" s="1"/>
  <c r="G49" i="14"/>
  <c r="J49" i="14" s="1"/>
  <c r="G50" i="14"/>
  <c r="G51" i="14"/>
  <c r="J51" i="14" s="1"/>
  <c r="G52" i="14"/>
  <c r="J52" i="14" s="1"/>
  <c r="G53" i="14"/>
  <c r="J53" i="14" s="1"/>
  <c r="G54" i="14"/>
  <c r="J54" i="14" s="1"/>
  <c r="G55" i="14"/>
  <c r="G56" i="14"/>
  <c r="J56" i="14" s="1"/>
  <c r="G57" i="14"/>
  <c r="J57" i="14" s="1"/>
  <c r="G58" i="14"/>
  <c r="J58" i="14" s="1"/>
  <c r="G59" i="14"/>
  <c r="J59" i="14" s="1"/>
  <c r="G60" i="14"/>
  <c r="J60" i="14" s="1"/>
  <c r="G61" i="14"/>
  <c r="J61" i="14" s="1"/>
  <c r="G62" i="14"/>
  <c r="J62" i="14" s="1"/>
  <c r="G63" i="14"/>
  <c r="J63" i="14" s="1"/>
  <c r="G64" i="14"/>
  <c r="J64" i="14" s="1"/>
  <c r="G65" i="14"/>
  <c r="J65" i="14" s="1"/>
  <c r="G66" i="14"/>
  <c r="J66" i="14" s="1"/>
  <c r="G67" i="14"/>
  <c r="G68" i="14"/>
  <c r="J68" i="14" s="1"/>
  <c r="G69" i="14"/>
  <c r="J69" i="14" s="1"/>
  <c r="G70" i="14"/>
  <c r="J70" i="14" s="1"/>
  <c r="G71" i="14"/>
  <c r="J71" i="14" s="1"/>
  <c r="G72" i="14"/>
  <c r="J72" i="14" s="1"/>
  <c r="G73" i="14"/>
  <c r="J73" i="14" s="1"/>
  <c r="G74" i="14"/>
  <c r="J74" i="14" s="1"/>
  <c r="G75" i="14"/>
  <c r="G76" i="14"/>
  <c r="J76" i="14" s="1"/>
  <c r="G77" i="14"/>
  <c r="J77" i="14" s="1"/>
  <c r="G78" i="14"/>
  <c r="J78" i="14" s="1"/>
  <c r="G79" i="14"/>
  <c r="G80" i="14"/>
  <c r="G81" i="14"/>
  <c r="J81" i="14" s="1"/>
  <c r="G82" i="14"/>
  <c r="J82" i="14" s="1"/>
  <c r="G83" i="14"/>
  <c r="J83" i="14" s="1"/>
  <c r="G84" i="14"/>
  <c r="J84" i="14" s="1"/>
  <c r="G85" i="14"/>
  <c r="J85" i="14" s="1"/>
  <c r="G86" i="14"/>
  <c r="J86" i="14" s="1"/>
  <c r="G87" i="14"/>
  <c r="J87" i="14" s="1"/>
  <c r="G88" i="14"/>
  <c r="J88" i="14" s="1"/>
  <c r="G89" i="14"/>
  <c r="J89" i="14" s="1"/>
  <c r="G90" i="14"/>
  <c r="J90" i="14" s="1"/>
  <c r="G91" i="14"/>
  <c r="G92" i="14"/>
  <c r="J92" i="14" s="1"/>
  <c r="G93" i="14"/>
  <c r="J93" i="14" s="1"/>
  <c r="G94" i="14"/>
  <c r="J94" i="14" s="1"/>
  <c r="G95" i="14"/>
  <c r="G96" i="14"/>
  <c r="J96" i="14" s="1"/>
  <c r="G97" i="14"/>
  <c r="J97" i="14" s="1"/>
  <c r="G98" i="14"/>
  <c r="J98" i="14" s="1"/>
  <c r="G99" i="14"/>
  <c r="J99" i="14" s="1"/>
  <c r="G100" i="14"/>
  <c r="J100" i="14" s="1"/>
  <c r="G101" i="14"/>
  <c r="J101" i="14" s="1"/>
  <c r="G102" i="14"/>
  <c r="J102" i="14" s="1"/>
  <c r="G103" i="14"/>
  <c r="J103" i="14" s="1"/>
  <c r="G104" i="14"/>
  <c r="J104" i="14" s="1"/>
  <c r="G105" i="14"/>
  <c r="J105" i="14" s="1"/>
  <c r="G106" i="14"/>
  <c r="J106" i="14" s="1"/>
  <c r="G107" i="14"/>
  <c r="J107" i="14" s="1"/>
  <c r="G108" i="14"/>
  <c r="J108" i="14" s="1"/>
  <c r="G109" i="14"/>
  <c r="J109" i="14" s="1"/>
  <c r="G110" i="14"/>
  <c r="J110" i="14" s="1"/>
  <c r="G111" i="14"/>
  <c r="G112" i="14"/>
  <c r="J112" i="14" s="1"/>
  <c r="G113" i="14"/>
  <c r="J113" i="14" s="1"/>
  <c r="G114" i="14"/>
  <c r="J114" i="14" s="1"/>
  <c r="G115" i="14"/>
  <c r="J115" i="14" s="1"/>
  <c r="G116" i="14"/>
  <c r="J116" i="14" s="1"/>
  <c r="G117" i="14"/>
  <c r="J117" i="14" s="1"/>
  <c r="G16" i="14"/>
  <c r="H17" i="4"/>
  <c r="K17" i="4" s="1"/>
  <c r="H18" i="4"/>
  <c r="K18" i="4" s="1"/>
  <c r="H19" i="4"/>
  <c r="K19" i="4" s="1"/>
  <c r="H20" i="4"/>
  <c r="K20" i="4" s="1"/>
  <c r="H21" i="4"/>
  <c r="K21" i="4" s="1"/>
  <c r="H22" i="4"/>
  <c r="K22" i="4" s="1"/>
  <c r="H23" i="4"/>
  <c r="K23" i="4" s="1"/>
  <c r="H24" i="4"/>
  <c r="K24" i="4" s="1"/>
  <c r="H25" i="4"/>
  <c r="K25" i="4" s="1"/>
  <c r="H26" i="4"/>
  <c r="K26" i="4" s="1"/>
  <c r="H27" i="4"/>
  <c r="K27" i="4" s="1"/>
  <c r="H28" i="4"/>
  <c r="K28" i="4" s="1"/>
  <c r="H29" i="4"/>
  <c r="K29" i="4" s="1"/>
  <c r="H30" i="4"/>
  <c r="K30" i="4" s="1"/>
  <c r="H31" i="4"/>
  <c r="K31" i="4" s="1"/>
  <c r="H32" i="4"/>
  <c r="K32" i="4" s="1"/>
  <c r="H33" i="4"/>
  <c r="K33" i="4" s="1"/>
  <c r="H34" i="4"/>
  <c r="K34" i="4" s="1"/>
  <c r="H35" i="4"/>
  <c r="K35" i="4" s="1"/>
  <c r="H36" i="4"/>
  <c r="K36" i="4" s="1"/>
  <c r="H37" i="4"/>
  <c r="K37" i="4" s="1"/>
  <c r="H38" i="4"/>
  <c r="K38" i="4" s="1"/>
  <c r="H39" i="4"/>
  <c r="K39" i="4" s="1"/>
  <c r="H40" i="4"/>
  <c r="K40" i="4" s="1"/>
  <c r="H41" i="4"/>
  <c r="K41" i="4" s="1"/>
  <c r="H42" i="4"/>
  <c r="K42" i="4" s="1"/>
  <c r="H43" i="4"/>
  <c r="K43" i="4" s="1"/>
  <c r="H44" i="4"/>
  <c r="K44" i="4" s="1"/>
  <c r="H45" i="4"/>
  <c r="K45" i="4" s="1"/>
  <c r="H46" i="4"/>
  <c r="K46" i="4" s="1"/>
  <c r="H47" i="4"/>
  <c r="K47" i="4" s="1"/>
  <c r="H48" i="4"/>
  <c r="K48" i="4" s="1"/>
  <c r="H49" i="4"/>
  <c r="K49" i="4" s="1"/>
  <c r="H50" i="4"/>
  <c r="K50" i="4" s="1"/>
  <c r="H51" i="4"/>
  <c r="K51" i="4" s="1"/>
  <c r="H52" i="4"/>
  <c r="K52" i="4" s="1"/>
  <c r="H53" i="4"/>
  <c r="K53" i="4" s="1"/>
  <c r="H54" i="4"/>
  <c r="K54" i="4" s="1"/>
  <c r="H55" i="4"/>
  <c r="K55" i="4" s="1"/>
  <c r="H56" i="4"/>
  <c r="K56" i="4" s="1"/>
  <c r="H57" i="4"/>
  <c r="K57" i="4" s="1"/>
  <c r="H58" i="4"/>
  <c r="K58" i="4" s="1"/>
  <c r="H59" i="4"/>
  <c r="K59" i="4" s="1"/>
  <c r="H60" i="4"/>
  <c r="K60" i="4" s="1"/>
  <c r="H61" i="4"/>
  <c r="K61" i="4" s="1"/>
  <c r="H62" i="4"/>
  <c r="K62" i="4" s="1"/>
  <c r="H63" i="4"/>
  <c r="K63" i="4" s="1"/>
  <c r="H64" i="4"/>
  <c r="K64" i="4" s="1"/>
  <c r="H65" i="4"/>
  <c r="K65" i="4" s="1"/>
  <c r="H66" i="4"/>
  <c r="K66" i="4" s="1"/>
  <c r="H67" i="4"/>
  <c r="K67" i="4" s="1"/>
  <c r="H68" i="4"/>
  <c r="K68" i="4" s="1"/>
  <c r="H69" i="4"/>
  <c r="K69" i="4" s="1"/>
  <c r="H70" i="4"/>
  <c r="K70" i="4" s="1"/>
  <c r="H71" i="4"/>
  <c r="K71" i="4" s="1"/>
  <c r="H72" i="4"/>
  <c r="K72" i="4" s="1"/>
  <c r="H73" i="4"/>
  <c r="K73" i="4" s="1"/>
  <c r="H74" i="4"/>
  <c r="K74" i="4" s="1"/>
  <c r="H75" i="4"/>
  <c r="K75" i="4" s="1"/>
  <c r="H76" i="4"/>
  <c r="K76" i="4" s="1"/>
  <c r="H77" i="4"/>
  <c r="K77" i="4" s="1"/>
  <c r="H78" i="4"/>
  <c r="K78" i="4" s="1"/>
  <c r="H79" i="4"/>
  <c r="K79" i="4" s="1"/>
  <c r="H80" i="4"/>
  <c r="K80" i="4" s="1"/>
  <c r="H81" i="4"/>
  <c r="K81" i="4" s="1"/>
  <c r="H82" i="4"/>
  <c r="K82" i="4" s="1"/>
  <c r="H83" i="4"/>
  <c r="K83" i="4" s="1"/>
  <c r="H84" i="4"/>
  <c r="K84" i="4" s="1"/>
  <c r="H85" i="4"/>
  <c r="K85" i="4" s="1"/>
  <c r="H86" i="4"/>
  <c r="K86" i="4" s="1"/>
  <c r="H87" i="4"/>
  <c r="K87" i="4" s="1"/>
  <c r="H88" i="4"/>
  <c r="K88" i="4" s="1"/>
  <c r="H89" i="4"/>
  <c r="K89" i="4" s="1"/>
  <c r="H90" i="4"/>
  <c r="K90" i="4" s="1"/>
  <c r="H91" i="4"/>
  <c r="K91" i="4" s="1"/>
  <c r="H92" i="4"/>
  <c r="K92" i="4" s="1"/>
  <c r="H93" i="4"/>
  <c r="K93" i="4" s="1"/>
  <c r="H94" i="4"/>
  <c r="K94" i="4" s="1"/>
  <c r="H95" i="4"/>
  <c r="K95" i="4" s="1"/>
  <c r="H96" i="4"/>
  <c r="K96" i="4" s="1"/>
  <c r="H97" i="4"/>
  <c r="K97" i="4" s="1"/>
  <c r="H98" i="4"/>
  <c r="K98" i="4" s="1"/>
  <c r="H99" i="4"/>
  <c r="K99" i="4" s="1"/>
  <c r="H100" i="4"/>
  <c r="K100" i="4" s="1"/>
  <c r="H101" i="4"/>
  <c r="K101" i="4" s="1"/>
  <c r="H102" i="4"/>
  <c r="K102" i="4" s="1"/>
  <c r="H103" i="4"/>
  <c r="K103" i="4" s="1"/>
  <c r="H104" i="4"/>
  <c r="K104" i="4" s="1"/>
  <c r="H105" i="4"/>
  <c r="K105" i="4" s="1"/>
  <c r="H106" i="4"/>
  <c r="K106" i="4" s="1"/>
  <c r="H107" i="4"/>
  <c r="K107" i="4" s="1"/>
  <c r="H108" i="4"/>
  <c r="K108" i="4" s="1"/>
  <c r="H109" i="4"/>
  <c r="K109" i="4" s="1"/>
  <c r="H110" i="4"/>
  <c r="K110" i="4" s="1"/>
  <c r="H111" i="4"/>
  <c r="K111" i="4" s="1"/>
  <c r="H112" i="4"/>
  <c r="K112" i="4" s="1"/>
  <c r="H113" i="4"/>
  <c r="K113" i="4" s="1"/>
  <c r="H114" i="4"/>
  <c r="K114" i="4" s="1"/>
  <c r="H115" i="4"/>
  <c r="K115" i="4" s="1"/>
  <c r="H116" i="4"/>
  <c r="K116" i="4" s="1"/>
  <c r="H117" i="4"/>
  <c r="K117" i="4" s="1"/>
  <c r="H118" i="4"/>
  <c r="K118" i="4" s="1"/>
  <c r="H119" i="4"/>
  <c r="K119" i="4" s="1"/>
  <c r="H120" i="4"/>
  <c r="K120" i="4" s="1"/>
  <c r="H121" i="4"/>
  <c r="K121" i="4" s="1"/>
  <c r="H122" i="4"/>
  <c r="K122" i="4" s="1"/>
  <c r="H123" i="4"/>
  <c r="K123" i="4" s="1"/>
  <c r="H124" i="4"/>
  <c r="K124" i="4" s="1"/>
  <c r="H125" i="4"/>
  <c r="K125" i="4" s="1"/>
  <c r="H126" i="4"/>
  <c r="K126" i="4" s="1"/>
  <c r="H127" i="4"/>
  <c r="K127" i="4" s="1"/>
  <c r="H128" i="4"/>
  <c r="K128" i="4" s="1"/>
  <c r="H129" i="4"/>
  <c r="K129" i="4" s="1"/>
  <c r="H130" i="4"/>
  <c r="K130" i="4" s="1"/>
  <c r="H131" i="4"/>
  <c r="K131" i="4" s="1"/>
  <c r="H132" i="4"/>
  <c r="K132" i="4" s="1"/>
  <c r="H133" i="4"/>
  <c r="K133" i="4" s="1"/>
  <c r="H134" i="4"/>
  <c r="K134" i="4" s="1"/>
  <c r="H135" i="4"/>
  <c r="K135" i="4" s="1"/>
  <c r="H136" i="4"/>
  <c r="K136" i="4" s="1"/>
  <c r="H137" i="4"/>
  <c r="K137" i="4" s="1"/>
  <c r="H138" i="4"/>
  <c r="K138" i="4" s="1"/>
  <c r="H139" i="4"/>
  <c r="K139" i="4" s="1"/>
  <c r="H140" i="4"/>
  <c r="K140" i="4" s="1"/>
  <c r="H141" i="4"/>
  <c r="K141" i="4" s="1"/>
  <c r="H142" i="4"/>
  <c r="K142" i="4" s="1"/>
  <c r="H143" i="4"/>
  <c r="K143" i="4" s="1"/>
  <c r="H144" i="4"/>
  <c r="K144" i="4" s="1"/>
  <c r="H145" i="4"/>
  <c r="K145" i="4" s="1"/>
  <c r="H146" i="4"/>
  <c r="K146" i="4" s="1"/>
  <c r="H147" i="4"/>
  <c r="K147" i="4" s="1"/>
  <c r="H148" i="4"/>
  <c r="K148" i="4" s="1"/>
  <c r="H16" i="4"/>
  <c r="K16" i="4" s="1"/>
  <c r="J26" i="14"/>
  <c r="J50" i="14"/>
  <c r="C17" i="1"/>
  <c r="C18" i="1"/>
  <c r="C19" i="1"/>
  <c r="C20" i="1"/>
  <c r="C21" i="1"/>
  <c r="C22" i="1"/>
  <c r="C23" i="1"/>
  <c r="C24" i="1"/>
  <c r="C25" i="1"/>
  <c r="C26" i="1"/>
  <c r="C27" i="1"/>
  <c r="C28" i="1"/>
  <c r="C29" i="1"/>
  <c r="C30" i="1"/>
  <c r="C31" i="1"/>
  <c r="C32" i="1"/>
  <c r="C33" i="1"/>
  <c r="C34" i="1"/>
  <c r="C35" i="1"/>
  <c r="C36" i="1"/>
  <c r="C16" i="1"/>
  <c r="C117" i="14"/>
  <c r="C116" i="14"/>
  <c r="C115" i="14"/>
  <c r="C114" i="14"/>
  <c r="C113" i="14"/>
  <c r="C112" i="14"/>
  <c r="J111" i="14"/>
  <c r="C111" i="14"/>
  <c r="C110" i="14"/>
  <c r="C109" i="14"/>
  <c r="C108" i="14"/>
  <c r="C107" i="14"/>
  <c r="C106" i="14"/>
  <c r="C105" i="14"/>
  <c r="C104" i="14"/>
  <c r="C103" i="14"/>
  <c r="C102" i="14"/>
  <c r="C101" i="14"/>
  <c r="C100" i="14"/>
  <c r="C99" i="14"/>
  <c r="C98" i="14"/>
  <c r="C97" i="14"/>
  <c r="C96" i="14"/>
  <c r="J95" i="14"/>
  <c r="C95" i="14"/>
  <c r="C94" i="14"/>
  <c r="C93" i="14"/>
  <c r="C92" i="14"/>
  <c r="J91" i="14"/>
  <c r="C91" i="14"/>
  <c r="C90" i="14"/>
  <c r="C89" i="14"/>
  <c r="C88" i="14"/>
  <c r="C87" i="14"/>
  <c r="C86" i="14"/>
  <c r="C85" i="14"/>
  <c r="C84" i="14"/>
  <c r="C83" i="14"/>
  <c r="C82" i="14"/>
  <c r="C81" i="14"/>
  <c r="J80" i="14"/>
  <c r="C80" i="14"/>
  <c r="J79" i="14"/>
  <c r="C79" i="14"/>
  <c r="C78" i="14"/>
  <c r="C77" i="14"/>
  <c r="C76" i="14"/>
  <c r="J75" i="14"/>
  <c r="C75" i="14"/>
  <c r="C74" i="14"/>
  <c r="C73" i="14"/>
  <c r="C72" i="14"/>
  <c r="C71" i="14"/>
  <c r="C70" i="14"/>
  <c r="C69" i="14"/>
  <c r="C68" i="14"/>
  <c r="J67" i="14"/>
  <c r="C67" i="14"/>
  <c r="C66" i="14"/>
  <c r="C65" i="14"/>
  <c r="C64" i="14"/>
  <c r="C63" i="14"/>
  <c r="C62" i="14"/>
  <c r="C61" i="14"/>
  <c r="C60" i="14"/>
  <c r="C59" i="14"/>
  <c r="C58" i="14"/>
  <c r="C57" i="14"/>
  <c r="C56" i="14"/>
  <c r="J55" i="14"/>
  <c r="C55" i="14"/>
  <c r="C54" i="14"/>
  <c r="C53" i="14"/>
  <c r="C52" i="14"/>
  <c r="C51" i="14"/>
  <c r="C50" i="14"/>
  <c r="C49" i="14"/>
  <c r="C48" i="14"/>
  <c r="C47" i="14"/>
  <c r="C46" i="14"/>
  <c r="C45" i="14"/>
  <c r="C44" i="14"/>
  <c r="J43" i="14"/>
  <c r="C43" i="14"/>
  <c r="C42" i="14"/>
  <c r="C41" i="14"/>
  <c r="C40" i="14"/>
  <c r="C39" i="14"/>
  <c r="C38" i="14"/>
  <c r="C37" i="14"/>
  <c r="C36" i="14"/>
  <c r="J35" i="14"/>
  <c r="C35" i="14"/>
  <c r="C34" i="14"/>
  <c r="C33" i="14"/>
  <c r="C32" i="14"/>
  <c r="J31" i="14"/>
  <c r="C31" i="14"/>
  <c r="C30" i="14"/>
  <c r="C29" i="14"/>
  <c r="C28" i="14"/>
  <c r="C27" i="14"/>
  <c r="C26" i="14"/>
  <c r="C25" i="14"/>
  <c r="C24" i="14"/>
  <c r="C23" i="14"/>
  <c r="C22" i="14"/>
  <c r="C21" i="14"/>
  <c r="J20" i="14"/>
  <c r="C20" i="14"/>
  <c r="J19" i="14"/>
  <c r="C19" i="14"/>
  <c r="C18" i="14"/>
  <c r="C17" i="14"/>
  <c r="J16" i="14"/>
  <c r="C16" i="1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6" i="4"/>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16" i="2"/>
  <c r="D84" i="2" l="1"/>
  <c r="D72" i="2"/>
  <c r="D60" i="2"/>
  <c r="D48" i="2"/>
  <c r="D61" i="2"/>
  <c r="D70" i="2"/>
  <c r="D86" i="2"/>
  <c r="D74" i="2"/>
  <c r="D62" i="2"/>
  <c r="D50" i="2"/>
  <c r="D82" i="2"/>
  <c r="D49" i="2"/>
  <c r="D65" i="2"/>
  <c r="D83" i="2"/>
  <c r="D71" i="2"/>
  <c r="D59" i="2"/>
  <c r="D81" i="2"/>
  <c r="D69" i="2"/>
  <c r="D57" i="2"/>
  <c r="D58" i="2"/>
  <c r="D92" i="2"/>
  <c r="D80" i="2"/>
  <c r="D68" i="2"/>
  <c r="D56" i="2"/>
  <c r="D93" i="2"/>
  <c r="D91" i="2"/>
  <c r="D79" i="2"/>
  <c r="D67" i="2"/>
  <c r="D55" i="2"/>
  <c r="D94" i="2"/>
  <c r="D78" i="2"/>
  <c r="D66" i="2"/>
  <c r="D54" i="2"/>
  <c r="D90" i="2"/>
  <c r="D53" i="2"/>
  <c r="D88" i="2"/>
  <c r="D76" i="2"/>
  <c r="D64" i="2"/>
  <c r="D52" i="2"/>
  <c r="D87" i="2"/>
  <c r="D75" i="2"/>
  <c r="D63" i="2"/>
  <c r="D51" i="2"/>
  <c r="D85" i="2"/>
  <c r="D73" i="2"/>
  <c r="D89" i="2"/>
  <c r="D77" i="2"/>
  <c r="D96" i="2"/>
  <c r="D95" i="2"/>
</calcChain>
</file>

<file path=xl/sharedStrings.xml><?xml version="1.0" encoding="utf-8"?>
<sst xmlns="http://schemas.openxmlformats.org/spreadsheetml/2006/main" count="4327" uniqueCount="1341">
  <si>
    <t>train_derailment</t>
  </si>
  <si>
    <t>typical</t>
  </si>
  <si>
    <t xml:space="preserve"> Obvious catastrophic rail hazard; central to safety analyses and high‑priority mitigation.</t>
  </si>
  <si>
    <t>roaming_adversarial_drone</t>
  </si>
  <si>
    <t xml:space="preserve"> Explicit threat in scenario; immediate security and collision concern for trains and sensors.</t>
  </si>
  <si>
    <t>adversarial_drone_response_strategies</t>
  </si>
  <si>
    <t xml:space="preserve"> Response strategies shape mitigation effectiveness; routinely considered in operational planning.</t>
  </si>
  <si>
    <t xml:space="preserve"> Clear zones improve visibility and safety; commonly prioritized in hazard controls.</t>
  </si>
  <si>
    <t xml:space="preserve"> Police units are standard responders; their availability dictates mitigation and public safety.</t>
  </si>
  <si>
    <t>train_schedule_timing</t>
  </si>
  <si>
    <t xml:space="preserve"> Schedule timing directly affects operations and cascade risk; routinely monitored and managed.</t>
  </si>
  <si>
    <t>all_trains_operations</t>
  </si>
  <si>
    <t xml:space="preserve"> System‑level operations govern safety and coordination; consistently central in risk assessments.</t>
  </si>
  <si>
    <t>adversarial_drone_collision_with_train</t>
  </si>
  <si>
    <t xml:space="preserve"> Collision is an immediate physical threat with high consequence; naturally foregrounded.</t>
  </si>
  <si>
    <t xml:space="preserve"> Scenario's explicit drone threat draws immediate attention due to collision and surveillance risks.</t>
  </si>
  <si>
    <t>unsafe_police_officer_movements</t>
  </si>
  <si>
    <t xml:space="preserve"> Unsafe officer movements increase responder risk and undermine interception effectiveness, routinely considered.</t>
  </si>
  <si>
    <t>unsafe_train_tracks_zone_structure</t>
  </si>
  <si>
    <t xml:space="preserve"> Structural track hazards are fundamental failure modes and a primary safety focus.</t>
  </si>
  <si>
    <t xml:space="preserve"> Unsafe officer movements elevate responder vulnerability, a typical health and safety issue.</t>
  </si>
  <si>
    <t xml:space="preserve"> Response timing errors reduce mitigation efficacy and are a standard operational concern.</t>
  </si>
  <si>
    <t xml:space="preserve"> Primary system asset; always foregrounded in rail safety analyses and consequence reasoning.</t>
  </si>
  <si>
    <t xml:space="preserve"> Physical obstructions immediately threaten operations and safety; routinely identified and mitigated.</t>
  </si>
  <si>
    <t xml:space="preserve"> Equipment faults are common failure modes and a standard focus in reliability assessments.</t>
  </si>
  <si>
    <t>signalling_malfunction</t>
  </si>
  <si>
    <t xml:space="preserve"> Signalling controls train movements; malfunctions typically create high‑risk operational hazards.</t>
  </si>
  <si>
    <t xml:space="preserve"> Schedule disruptions cascade operational risk and resource conflicts; routinely prioritised.</t>
  </si>
  <si>
    <t>available_ground_based_security_systems</t>
  </si>
  <si>
    <t xml:space="preserve"> On-site security is a typical mitigation factor commonly evaluated for vulnerability reduction.</t>
  </si>
  <si>
    <t xml:space="preserve"> Communication failures undermine coordinated response and are typically examined in incident planning.</t>
  </si>
  <si>
    <t xml:space="preserve"> Explicit scenario threat; typically salient due to collision, surveillance, and security implications.</t>
  </si>
  <si>
    <t>unsafe_unsecured_passengers_and_goods</t>
  </si>
  <si>
    <t>roaming_adversarial_drones_location_data</t>
  </si>
  <si>
    <t>police_officer_capture_adversarial_drone</t>
  </si>
  <si>
    <t>Typicalty Test</t>
  </si>
  <si>
    <t>Expert Validation</t>
  </si>
  <si>
    <t>Rational for typicality value</t>
  </si>
  <si>
    <t>Agree</t>
  </si>
  <si>
    <t>Disagree</t>
  </si>
  <si>
    <t>I agree to the claim mades. Or I disagree with such claims.</t>
  </si>
  <si>
    <t>Easy to explain</t>
  </si>
  <si>
    <t>Not easy to explain</t>
  </si>
  <si>
    <t>Given my prior general knowledge, the case study and thought experiment, with little explanation, it is fairly straightforward to describe the predicted factor's impact on overall safety. No deep systematic analysis is needed.</t>
  </si>
  <si>
    <t>Given my prior general knowledge, the case study and thought experiment, with little explanation, it is fairly hard to describe the predicted factor's impact on overall safety. Deep systematic analysis is needed to demonstrate the impact.</t>
  </si>
  <si>
    <t>I agree to the claims made. Or I disagree with such claims.</t>
  </si>
  <si>
    <t>Predicted situation</t>
  </si>
  <si>
    <t>Novelty Test</t>
  </si>
  <si>
    <t>reliable_railways_traffic_control</t>
  </si>
  <si>
    <t>safe_secure_police_officer</t>
  </si>
  <si>
    <t>false_positives</t>
  </si>
  <si>
    <t>alert_systems</t>
  </si>
  <si>
    <t>bad_weather</t>
  </si>
  <si>
    <t>Typical</t>
  </si>
  <si>
    <t>Schedule disruptions are an immediate, high‑visibility operational issue that analysts routinely anticipate. not counter intuitive or outside expected relevance</t>
  </si>
  <si>
    <t>Track and infrastructure integrity are fundamental, well‑known failure modes central to any rail hazard analysis.</t>
  </si>
  <si>
    <t>The scenario explicitly frames an airborne threat, and a collision with a train is typically expected.</t>
  </si>
  <si>
    <t xml:space="preserve">Unauthorised access to the track zone is a common security concern </t>
  </si>
  <si>
    <t>Traffic-control system reliability is a core systemic factor that analysts always evaluate</t>
  </si>
  <si>
    <t>Timing errors directly propagate through operations and are an obvious source of cascading delays and safety risks</t>
  </si>
  <si>
    <t>Law-enforcement response is a standard, readily available mitigation and consequence pathway in security‑oriented scenarios.</t>
  </si>
  <si>
    <t>System-level operational management governs the overall safety envelope and is routinely foregrounded in analyses.</t>
  </si>
  <si>
    <t>The presence or absence of on‑site security infrastructure is a common, immediate factor when assessing vulnerability and response capability.</t>
  </si>
  <si>
    <t xml:space="preserve"> Explicit threat in scenario; immediately commands attention due to collision and surveillance risks.</t>
  </si>
  <si>
    <t xml:space="preserve"> Central control component; its failure disrupts coordination and safety, routinely examined.</t>
  </si>
  <si>
    <t xml:space="preserve"> Missed detections directly undermine safety; analysts routinely prioritise this detection failure mode.</t>
  </si>
  <si>
    <t xml:space="preserve"> Response timing errors immediately reduce mitigation effectiveness and are commonly analysed.</t>
  </si>
  <si>
    <t xml:space="preserve"> Availability of trained officers is obvious mitigation, routinely considered in response planning.</t>
  </si>
  <si>
    <t xml:space="preserve"> Cleared track zones improve visibility and safety; a standard operational concern.</t>
  </si>
  <si>
    <t xml:space="preserve"> Restricted access impedes response and maintenance; commonly identified as a critical vulnerability.</t>
  </si>
  <si>
    <t xml:space="preserve"> Resource shortages limit mitigation capacity and are routinely flagged in risk assessments.</t>
  </si>
  <si>
    <t xml:space="preserve"> Incorrect response timing degrades effectiveness; a routine focus in operational reviews.</t>
  </si>
  <si>
    <t xml:space="preserve"> Primary system asset; always foregrounded in rail‑safety analyses.</t>
  </si>
  <si>
    <t xml:space="preserve"> Police response units are standard mitigations; availability and timeliness are routinely assessed.</t>
  </si>
  <si>
    <t xml:space="preserve"> Excess false alarms waste resources and erode trust; regularly evaluated.</t>
  </si>
  <si>
    <t xml:space="preserve"> Alert systems form the detection–response backbone and are standardly evaluated.</t>
  </si>
  <si>
    <t xml:space="preserve"> Coverage inaccuracies create unobserved areas; routinely examined in surveillance assessments.</t>
  </si>
  <si>
    <t xml:space="preserve"> Blind spots significantly reduce detection; analysts habitually search for and mitigate them.</t>
  </si>
  <si>
    <t xml:space="preserve"> Short deployments fail to fully mitigate threats; commonly identified as insufficient.</t>
  </si>
  <si>
    <t xml:space="preserve"> Prolonged deployments deplete resources and reduce readiness; routinely considered operational risk.</t>
  </si>
  <si>
    <t xml:space="preserve"> Operational disruptions cause revenue loss; a standard performance and risk metric.</t>
  </si>
  <si>
    <t xml:space="preserve"> Sensor failures directly impair detection; routinely included in reliability analyses.</t>
  </si>
  <si>
    <t xml:space="preserve"> Adverse weather predictably degrades sensors and operations; always considered in assessments.</t>
  </si>
  <si>
    <t xml:space="preserve"> Communication errors hinder coordinated response; a common, routinely assessed vulnerability.</t>
  </si>
  <si>
    <t>given the problem scenario, predicted factor that could be a hazard or lead to/or allow an unsafe or undesirable scenario to develop.</t>
  </si>
  <si>
    <t>roaming_adversarial_drone_approach_train</t>
  </si>
  <si>
    <t>train_traffic_controller</t>
  </si>
  <si>
    <t>train_transit_people_and_goods</t>
  </si>
  <si>
    <t>clear_train_tracks_zone_open_space_facilitating_safe_passage_for_trains</t>
  </si>
  <si>
    <t>human_operator_pilot_roaming_adversarial_drone</t>
  </si>
  <si>
    <t>police_force_dispatch_response</t>
  </si>
  <si>
    <t>environmental_conditions</t>
  </si>
  <si>
    <t>permissible_weather_conditions</t>
  </si>
  <si>
    <t>Police_Response_unit_chase_roaming_adversarial_drone</t>
  </si>
  <si>
    <t>poor_allocation_of_security_monitoring_resources</t>
  </si>
  <si>
    <t>relay_GPS_/_mobile_network</t>
  </si>
  <si>
    <t>scheduled_moving_train_passage_time</t>
  </si>
  <si>
    <t>adequate_fencing</t>
  </si>
  <si>
    <t>dispatch_train</t>
  </si>
  <si>
    <t>alert_unauthorised_access</t>
  </si>
  <si>
    <t>capable_adversarial_perception_model</t>
  </si>
  <si>
    <t>clear_train_tracks_zone_open_space_location</t>
  </si>
  <si>
    <t>adversarial_mission_target</t>
  </si>
  <si>
    <t>GPS_signal</t>
  </si>
  <si>
    <t>provide_mobile_network</t>
  </si>
  <si>
    <t>roam_clear_train_tracks_zone_open_space</t>
  </si>
  <si>
    <t>alert_police_force</t>
  </si>
  <si>
    <t>dispatch_police_force</t>
  </si>
  <si>
    <t>capture_roaming_adversarial_drone</t>
  </si>
  <si>
    <t>crossing_through_road_traffic</t>
  </si>
  <si>
    <t>permissible_road_traffic</t>
  </si>
  <si>
    <t>safe_transport_of_people</t>
  </si>
  <si>
    <t>secure_clear_train_tracks_zone_open_space</t>
  </si>
  <si>
    <t>train_schedule_management</t>
  </si>
  <si>
    <t>communication_with_moving_train_operators</t>
  </si>
  <si>
    <t>miss_moving_train_collision</t>
  </si>
  <si>
    <t>trigger_surveillance_alert</t>
  </si>
  <si>
    <t>detect_roaming_adversarial_drone</t>
  </si>
  <si>
    <t>early_unauthorised_access_alert</t>
  </si>
  <si>
    <t>false_unauthorised_access_alert</t>
  </si>
  <si>
    <t>short_range_unauthorised_access_alert</t>
  </si>
  <si>
    <t>updated_weather_conditions_are_reported_late</t>
  </si>
  <si>
    <t>incorrect_weather_forecast</t>
  </si>
  <si>
    <t>weather_reports_focus_on_irrelevant_areas</t>
  </si>
  <si>
    <t>Wrong_weather_zone_analysed_by_traffic_controller</t>
  </si>
  <si>
    <t>delayed_GPS_signal</t>
  </si>
  <si>
    <t>signal_data_from_an_incorrect_source_or_spoofed_signal</t>
  </si>
  <si>
    <t>adversarial_drone_covers_wider_area</t>
  </si>
  <si>
    <t>wrong_police_dispatch</t>
  </si>
  <si>
    <t>too_far_dispatch_location_of_officers</t>
  </si>
  <si>
    <t>late_chase_of_adversarial_drone</t>
  </si>
  <si>
    <t>excessive_police_chasing_distance</t>
  </si>
  <si>
    <t>road_traffic_related_delay_of_police_dispatch</t>
  </si>
  <si>
    <t>late_monitoring_after_escalation</t>
  </si>
  <si>
    <t>late_surveillance_alert</t>
  </si>
  <si>
    <t>Core role in rail operations; naturally salient when considering train movement and safety, without deeper reasoning.</t>
  </si>
  <si>
    <t>Baseline condition for safe operations; clear track zone is standard concern, readily inferred without detailed analysis.</t>
  </si>
  <si>
    <t>Routine control measure in rail security; surveillance of the track zone is expected and immediately salient.</t>
  </si>
  <si>
    <t>Human piloting is a common assumption for rogue drones; obviously relevant to threat assessment without deeper articulation.</t>
  </si>
  <si>
    <t>Standard response pathway to security incidents; naturally anticipated in railway threat scenarios without deeper reasoning.</t>
  </si>
  <si>
    <t>Well‑known operational hazard; miscommunication causing unsynchronized dispatches is typically considered in rail safety.</t>
  </si>
  <si>
    <t>Generic factor in all outdoor operations; weather and surroundings are immediately considered without deeper articulation.</t>
  </si>
  <si>
    <t>Weather thresholds are routine in rail operations; their relevance is obvious from the scenario without deeper analysis.</t>
  </si>
  <si>
    <t>Conventional law‑enforcement action; pursuit of hostile drones is an expected response needing no deeper articulation.</t>
  </si>
  <si>
    <t>Common governance issue; resource misallocation is a typical vulnerability acknowledged without deep reasoning.</t>
  </si>
  <si>
    <t>Standard enabling infrastructure; GPS and mobile relays are commonly considered when assessing location, control, and vulnerabilities.</t>
  </si>
  <si>
    <t>Basic operational event; trains passing the zone is fundamental and immediately relevant.</t>
  </si>
  <si>
    <t>Umbrella operational function; overarching train operations management is naturally salient in any rail safety scenario.</t>
  </si>
  <si>
    <t>Typical perimeter control; fencing is a standard, immediately considered protection measure for track zones.</t>
  </si>
  <si>
    <t>Standard security control; triggering alerts for unauthorized access is immediately expected in rail threat scenarios.</t>
  </si>
  <si>
    <t>Human piloting of a rogue drone is an obvious threat model; easily inferred without deeper articulation.</t>
  </si>
  <si>
    <t>Assuming competent onboard perception for adversarial drones is common in safety analyses; a straightforward, typical consideration.</t>
  </si>
  <si>
    <t>A clear, open track zone is a baseline operational condition; obviously relevant to intrusion and safety.</t>
  </si>
  <si>
    <t>Identifying a mission target is fundamental in adversarial scenarios; immediately salient without further analysis.</t>
  </si>
  <si>
    <t>GPS availability is routinely considered for navigation and counter‑UAS implications; typical factor, no deep reasoning needed.</t>
  </si>
  <si>
    <t>Cellular coverage affects control, telemetry, and detection; it is a standard consideration in such assessments.</t>
  </si>
  <si>
    <t>An open track zone is an obvious area a drone could roam; immediately relevant without deeper articulation.</t>
  </si>
  <si>
    <t>Notifying police is a standard escalation step in security incidents; plainly expected here.</t>
  </si>
  <si>
    <t>Dispatching police units upon alert is routine practice; easily anticipated from the scenario.</t>
  </si>
  <si>
    <t>Attempting to capture a rogue drone is a conventional response objective; naturally salient without deeper thought.</t>
  </si>
  <si>
    <t>Road traffic interactions near rail corridors are routinely assessed for safety; obviously relevant here.</t>
  </si>
  <si>
    <t>Permitted traffic levels and timings are standard operational parameters; readily considered without deeper analysis.</t>
  </si>
  <si>
    <t>Protecting passengers is the primary objective of rail systems; immediately obvious in any safety scenario.</t>
  </si>
  <si>
    <t>Ensuring passengers arrive safely at destinations is fundamental; plainly relevant without deeper articulation.</t>
  </si>
  <si>
    <t>Securing the clear track zone is a standard protection goal; obviously pertinent to intrusion risk.</t>
  </si>
  <si>
    <t>Police monitoring or supporting track‑zone surveillance is conventional; immediately expected in a threat context.</t>
  </si>
  <si>
    <t>Atypical</t>
  </si>
  <si>
    <r>
      <t xml:space="preserve">Typical: </t>
    </r>
    <r>
      <rPr>
        <sz val="11"/>
        <color theme="1"/>
        <rFont val="Aptos Narrow"/>
        <family val="2"/>
        <scheme val="minor"/>
      </rPr>
      <t>common concern in any problem scenario related to railway safety or reliable operations.</t>
    </r>
    <r>
      <rPr>
        <b/>
        <sz val="11"/>
        <color theme="1"/>
        <rFont val="Aptos Narrow"/>
        <family val="2"/>
        <scheme val="minor"/>
      </rPr>
      <t xml:space="preserve"> Atypical:</t>
    </r>
    <r>
      <rPr>
        <sz val="11"/>
        <color theme="1"/>
        <rFont val="Aptos Narrow"/>
        <family val="2"/>
        <scheme val="minor"/>
      </rPr>
      <t xml:space="preserve"> Novel and specific to this particular problem, can not possibly be encountered in any other problematic scenarios related to railway safety and reliable operation.</t>
    </r>
  </si>
  <si>
    <t>Standard scheduling function; inherently central to rail safety and coordination, easily inferred from the scenario without deeper articulation.</t>
  </si>
  <si>
    <t>Routine operational communication; obviously critical for safety and coordination of moving trains, immediately notable without deeper analysis.</t>
  </si>
  <si>
    <t>Avoiding collisions is a fundamental safety objective; naturally salient in any moving‑train scenario without additional articulation.</t>
  </si>
  <si>
    <t>Alerting mechanisms for anomalies are standard in rail security; expected and immediately relevant from the scenario.</t>
  </si>
  <si>
    <t>Detection of hostile drones is an obvious prerequisite in such threats; typically considered without deeper thought.</t>
  </si>
  <si>
    <t>Delays to scheduled movements are common operational risks; clearly pertinent to safety and coordination.</t>
  </si>
  <si>
    <t>Incorrect scheduling is a known hazard pathway; immediately recognized as a typical risk factor.</t>
  </si>
  <si>
    <t>Routing errors are classic operational hazards; plainly relevant to safety without additional reasoning.</t>
  </si>
  <si>
    <t>Late guidance is a routine coordination risk with system‑wide effects; obviously salient in operations.</t>
  </si>
  <si>
    <t>Misaddressed guidance is a common communication failure mode; naturally considered in safety analysis.</t>
  </si>
  <si>
    <t>Incorrect directional guidance is a textbook hazard; immediately notable in any movement‑control scenario.</t>
  </si>
  <si>
    <t>Insufficient fencing is a standard perimeter vulnerability; plainly relevant for intrusion and safety.</t>
  </si>
  <si>
    <t>Misplaced fencing is a routine design/maintenance concern; its relevance is obvious without deeper articulation.</t>
  </si>
  <si>
    <t>Partial fencing coverage is a typical gap in perimeter protection; immediately salient from a safety perspective.</t>
  </si>
  <si>
    <t>Delayed surveillance activation is a common monitoring failure; clearly pertinent to detection timeliness.</t>
  </si>
  <si>
    <t>Monitoring the wrong area is a familiar targeting error; typically noted in surveillance planning.</t>
  </si>
  <si>
    <t>Camera misorientation is a routine configuration fault; obviously impacts coverage and detection.</t>
  </si>
  <si>
    <t>Insufficient surveillance dwell time is a standard limitation; plainly relevant to catching transient threats.</t>
  </si>
  <si>
    <t>Early dispatch timing is a classic scheduling deviation; naturally salient to safety coordination.</t>
  </si>
  <si>
    <t>Late dispatch is a routine operational delay; expected to affect safety margins and flow.</t>
  </si>
  <si>
    <t>Dispatching the wrong train is a known operations error; immediately relevant to system safety.</t>
  </si>
  <si>
    <t>Sending a train to the wrong track is a standard routing hazard; clearly pertinent without deeper analysis.</t>
  </si>
  <si>
    <t>Overextended dispatch durations are a routine scheduling deviation affecting safety margins; immediately salient without deeper analysis.</t>
  </si>
  <si>
    <t>Early unauthorized-access alerts are standard security functions; plainly expected in threat monitoring without deeper articulation.</t>
  </si>
  <si>
    <t>Late access alerts causing system-wide effects are a common monitoring failure; obviously relevant to coordination and safety.</t>
  </si>
  <si>
    <t>False alerts are textbook detection issues; commonly considered when evaluating surveillance reliability.</t>
  </si>
  <si>
    <t>Alerting the wrong track zone is a familiar targeting error; immediately notable in surveillance design.</t>
  </si>
  <si>
    <t>Short detection range is a standard coverage limitation; plainly relevant to timely security response.</t>
  </si>
  <si>
    <t>Favorable environmental conditions enabling earlier drone operations are routinely assessed; an expected factor without deeper reasoning.</t>
  </si>
  <si>
    <t>Late weather updates are common information-latency issues; clearly pertinent to operational decisions.</t>
  </si>
  <si>
    <t>Forecast error is a standard planning risk; immediately relevant to scheduling and safety margins.</t>
  </si>
  <si>
    <t>Focusing weather reports on the wrong area is a familiar scope error; obviously noteworthy for decision quality.</t>
  </si>
  <si>
    <t>Misdirected or incorrect weather to controllers is a typical communication error; clearly relevant to safety decisions.</t>
  </si>
  <si>
    <t>Analyzing the wrong weather zone is a known analytical scope issue; immediately salient.</t>
  </si>
  <si>
    <t>Delayed GPS signals are common timing issues in positioning systems; obviously pertinent to coordination and tracking.</t>
  </si>
  <si>
    <t>Incorrect or spoofed signal sources are standard threat/quality concerns; typically considered in safety and security analyses.</t>
  </si>
  <si>
    <t>Early roaming before train arrival is a straightforward adversary tactic; plainly relevant to detection timing.</t>
  </si>
  <si>
    <t>Wider coverage by a hostile drone is an obvious escalation; immediately notable for surveillance and response planning.</t>
  </si>
  <si>
    <t>Arrival delays routinely complicate coordination; a standard operations concern in rail systems.</t>
  </si>
  <si>
    <t>Premature police alerts are familiar escalation errors; clearly relevant to resource allocation and credibility.</t>
  </si>
  <si>
    <t>Late drone alerts are typical detection‑latency failures; obviously pertinent to risk exposure.</t>
  </si>
  <si>
    <t>Dispatching the wrong police unit/location is a common coordination error; immediately salient.</t>
  </si>
  <si>
    <t>Sending a less‑equipped unit is a routine capability‑mismatch issue; clearly relevant to response effectiveness.</t>
  </si>
  <si>
    <t>Misrouting responders is a common coordination error in security incidents and railway operations, readily anticipated without deeper articulation.</t>
  </si>
  <si>
    <t>Excessive dispatch distance is a standard response‑time constraint affecting incident outcomes; immediately salient in planning.</t>
  </si>
  <si>
    <t>Delayed pursuit following detection is a routine latency issue in threat response; plainly relevant here.</t>
  </si>
  <si>
    <t>Overlong pursuit ranges are a conventional capability and endurance concern; obviously considered in response planning.</t>
  </si>
  <si>
    <t>Road congestion delaying responders is a well‑known operational risk near rail corridors; readily inferred.</t>
  </si>
  <si>
    <t>Monitoring initiated too late post‑escalation is a familiar surveillance timing failure; clearly pertinent.</t>
  </si>
  <si>
    <t>Alert latency is a textbook detection‑to‑decision gap; immediately notable without deeper analysis.</t>
  </si>
  <si>
    <t>False alarms are standard limitations of surveillance systems; commonly expected in safety/security contexts.</t>
  </si>
  <si>
    <t>Alerts pointing to the wrong area are routine targeting/labeling errors; naturally salient in incident management.</t>
  </si>
  <si>
    <t>Brief alert durations are a common usability/latency issue reducing operator reaction time; plainly relevant.</t>
  </si>
  <si>
    <t>train_tracks_structure</t>
  </si>
  <si>
    <t>any_trained_computer_vision_agent_perception_capability</t>
  </si>
  <si>
    <t>train_tracks_zone_fence_structure</t>
  </si>
  <si>
    <t>fallen_vegetation_over_train_tracks_structure</t>
  </si>
  <si>
    <t>powered_powerlines_cables_structure_visual_appearance</t>
  </si>
  <si>
    <t>police_officer_situational_awareness</t>
  </si>
  <si>
    <t>roaming_adversarial_drone_perception_capability</t>
  </si>
  <si>
    <t>roaming_adversarial_drone_flight_dynamics</t>
  </si>
  <si>
    <t>train_driver_situational_awareness</t>
  </si>
  <si>
    <t>onboard_train_safety_systems</t>
  </si>
  <si>
    <t>unaware_train_driver_situational_awareness</t>
  </si>
  <si>
    <t>extended_train_pantograph</t>
  </si>
  <si>
    <t>train_tracks_structure_visual_appearance</t>
  </si>
  <si>
    <t>weather_conditions</t>
  </si>
  <si>
    <t>adaptive_camouflage_system</t>
  </si>
  <si>
    <t>free_space_above_train_roof</t>
  </si>
  <si>
    <t>vegetation_complex_shapes_sizes_visual_appearance</t>
  </si>
  <si>
    <t>visible_powered_powerlines_cables_structure_visual_appearance</t>
  </si>
  <si>
    <t>stationary_train</t>
  </si>
  <si>
    <t>safe_passengers_and_goods</t>
  </si>
  <si>
    <t>roaming_adversarial_drones_information</t>
  </si>
  <si>
    <t>unaware_emergency_response_teams</t>
  </si>
  <si>
    <t>onboard_train_communication_interface</t>
  </si>
  <si>
    <t>camouflage_mechanisms</t>
  </si>
  <si>
    <t>train_tracks_maintenance_activities</t>
  </si>
  <si>
    <t>track_zone_obstacles</t>
  </si>
  <si>
    <t>invisible_roaming_adversarial_drone_visual_appearance</t>
  </si>
  <si>
    <t>inadequate_eagle_drone_perception_reliability</t>
  </si>
  <si>
    <t>inadequate_track_zone_monitoring_systems_detection_capability</t>
  </si>
  <si>
    <t>low_observability_coating_material</t>
  </si>
  <si>
    <t>dynamic_surface_pattern_generator</t>
  </si>
  <si>
    <t>flight_trajectory_profile</t>
  </si>
  <si>
    <t>timing_intrusion_window</t>
  </si>
  <si>
    <t>current_environmental_lighting_conditions</t>
  </si>
  <si>
    <t>active_eagle_drone_patrol_pattern</t>
  </si>
  <si>
    <t>available_visual_occlusion_features</t>
  </si>
  <si>
    <t>visible_train_tracks_zone_fence_structure_visual_appearance</t>
  </si>
  <si>
    <t>passing_train_season_&amp;_wind</t>
  </si>
  <si>
    <t>safe_secure_train_track_zone</t>
  </si>
  <si>
    <t>track_zone_monitoring_systems</t>
  </si>
  <si>
    <t>track_zone_monitoring_systems_data</t>
  </si>
  <si>
    <t>timely_track_zone_monitoring_systems_data</t>
  </si>
  <si>
    <t>accurate_track_zone_monitoring_systems_data</t>
  </si>
  <si>
    <t>track_zone_monitoring_systems_data_gaps_or_inconsistencies</t>
  </si>
  <si>
    <t>roaming_adversarial_drones</t>
  </si>
  <si>
    <t>roaming_adversarial_drones_size_data</t>
  </si>
  <si>
    <t>roaming_adversarial_drones_flying_behaviour_data</t>
  </si>
  <si>
    <t>roaming_adversarial_drones_critical_data</t>
  </si>
  <si>
    <t>roaming_adversarial_drones_information_transmitted_data</t>
  </si>
  <si>
    <t>designated_emergency_response_communication_system</t>
  </si>
  <si>
    <t>emergency_notification</t>
  </si>
  <si>
    <t>accurate_track_zone_monitoring_systems</t>
  </si>
  <si>
    <t>communication_network_connectivity</t>
  </si>
  <si>
    <t>alternative_communication_channels</t>
  </si>
  <si>
    <t>track_zone_monitoring_systems_data_plausibility</t>
  </si>
  <si>
    <t>ground_based_security_systems_received_data</t>
  </si>
  <si>
    <t>disruptive_adversarial_drones_threat_severity</t>
  </si>
  <si>
    <t>low_altitude_roaming_adversarial_drone</t>
  </si>
  <si>
    <t>roaming_adversarial_drone_camouflage</t>
  </si>
  <si>
    <t>roaming_adversarial_drone_noise_emissions</t>
  </si>
  <si>
    <t>moving_train_blind_spots</t>
  </si>
  <si>
    <t>altitude_control_systems</t>
  </si>
  <si>
    <t>roaming_adversarial_drone_noise_suppression_systems</t>
  </si>
  <si>
    <t>roaming_adversarial_drone_navigation_systems</t>
  </si>
  <si>
    <t>altitude_parameters</t>
  </si>
  <si>
    <t>roaming_adversarial_drone_noise_output</t>
  </si>
  <si>
    <t>path_planning_algorithms</t>
  </si>
  <si>
    <t>flight_path_based_on_weather</t>
  </si>
  <si>
    <t>routes_around_maintenance_activities</t>
  </si>
  <si>
    <t>adversarial_drone_dangerous_navigation_around_obstacles</t>
  </si>
  <si>
    <t>detectable_visual_signature</t>
  </si>
  <si>
    <t>low_contrast_environmental_conditions</t>
  </si>
  <si>
    <t>benign_environmental_object_appearance</t>
  </si>
  <si>
    <t>ambient_background_visual_texture</t>
  </si>
  <si>
    <t>characteristic_drone_shape_features</t>
  </si>
  <si>
    <t>timely_threat_notification</t>
  </si>
  <si>
    <t>reliable_security_alert_information</t>
  </si>
  <si>
    <t>real_time_camouflage_pattern</t>
  </si>
  <si>
    <t>background_environmental_visual_data</t>
  </si>
  <si>
    <t>low_reflectivity_coating_material</t>
  </si>
  <si>
    <t>specular_reflection_intensity</t>
  </si>
  <si>
    <t>adaptive_visual_pattern</t>
  </si>
  <si>
    <t>surface_color_distribution</t>
  </si>
  <si>
    <t>ambient_lighting_conditions</t>
  </si>
  <si>
    <t>low_visibility_flight_path</t>
  </si>
  <si>
    <t>high_illumination_zones</t>
  </si>
  <si>
    <t>visual_occlusion_opportunities</t>
  </si>
  <si>
    <t>optimal_intrusion_timing</t>
  </si>
  <si>
    <t>intrusion_until_low_detection_probability</t>
  </si>
  <si>
    <t>time_coordinated_penetration</t>
  </si>
  <si>
    <t>ambient_illumination_intensity</t>
  </si>
  <si>
    <t>shadow_zone_locations</t>
  </si>
  <si>
    <t>low_contrast_background_textures</t>
  </si>
  <si>
    <t>eagle_drone_flight_trajectory</t>
  </si>
  <si>
    <t>eagle_drone_sensor_coverage_gaps</t>
  </si>
  <si>
    <t>predictable_patrol_schedule</t>
  </si>
  <si>
    <t>trackside_vegetation_density</t>
  </si>
  <si>
    <t>infrastructure_shadow_zones</t>
  </si>
  <si>
    <t>fence_structure_occlusion_potential</t>
  </si>
  <si>
    <t>adequate_concealment_coverage</t>
  </si>
  <si>
    <t>random_vegetation_motion</t>
  </si>
  <si>
    <t>traveling_train_induced_air_turbulence_and_vibration</t>
  </si>
  <si>
    <t>fence_to_train_open_space</t>
  </si>
  <si>
    <t>train_electric_power_supply</t>
  </si>
  <si>
    <t>powered_powerlines_cables_structure_sparks</t>
  </si>
  <si>
    <t>visible_train_tracks_appearance</t>
  </si>
  <si>
    <t>visible_train_tracks_zone_fence_structure</t>
  </si>
  <si>
    <t>visible_vegetation_visual_appearance</t>
  </si>
  <si>
    <t>visible_vegetation_structure</t>
  </si>
  <si>
    <t>powered_powerlines_cables_emf</t>
  </si>
  <si>
    <t>powered_powerlines_cables_structure</t>
  </si>
  <si>
    <t>visibility_obstructive_objects</t>
  </si>
  <si>
    <t>train_track_zone_structure</t>
  </si>
  <si>
    <t>leaves_&amp;_pollen</t>
  </si>
  <si>
    <t>train_motion_dynamics</t>
  </si>
  <si>
    <t>police_officer_movements</t>
  </si>
  <si>
    <t>atypical</t>
  </si>
  <si>
    <t>Predicted situations Explainability</t>
  </si>
  <si>
    <t>Novel</t>
  </si>
  <si>
    <t>Not novel</t>
  </si>
  <si>
    <t>Typicality</t>
  </si>
  <si>
    <t>Given the problem scenario, predicted factor that could be a hazard or lead to/or allow an unsafe or undesirable scenario to develop.</t>
  </si>
  <si>
    <t>Counterintuitive, novel and unique to this problem, not common in any other problem related to railway safety and reliable operations.</t>
  </si>
  <si>
    <t>Within expected relevance, intuitive, and common in any other problem related to railway safety and reliable operations.</t>
  </si>
  <si>
    <t>Required Expert Input</t>
  </si>
  <si>
    <t>Originality</t>
  </si>
  <si>
    <t>n/a_control action_3_too soon/late</t>
  </si>
  <si>
    <t>n/a_control action_1_too long\ short</t>
  </si>
  <si>
    <t>n/a_control action_2_go wrong if issued</t>
  </si>
  <si>
    <t>n/a_control action_2_too long\ short</t>
  </si>
  <si>
    <t>n/a_control action_3_go wrong if issued</t>
  </si>
  <si>
    <t>n/a_control action_5_too soon/late</t>
  </si>
  <si>
    <t>n/a_control action_4_too long\ short</t>
  </si>
  <si>
    <t>n/a_control action_4_go wrong if issued</t>
  </si>
  <si>
    <t>n/a_control action_6_too soon/late</t>
  </si>
  <si>
    <t>n/a_control action_5_too long\ short</t>
  </si>
  <si>
    <t>n/a_control action_5_go wrong if not issued</t>
  </si>
  <si>
    <t>n/a_control action_6_too long\ short</t>
  </si>
  <si>
    <t>n/a_control action_6_go wrong if not issued</t>
  </si>
  <si>
    <t>n/a_control action_7_too long\ short</t>
  </si>
  <si>
    <t>n/a_control action_7_go wrong if issued</t>
  </si>
  <si>
    <t>n/a_control action_9_too soon/late</t>
  </si>
  <si>
    <t>n/a_control action_8_too long\ short</t>
  </si>
  <si>
    <t>n/a_control action_8_go wrong if issued</t>
  </si>
  <si>
    <t>n/a_control action_10_too soon/late</t>
  </si>
  <si>
    <t>n/a_control action_9_too long\ short</t>
  </si>
  <si>
    <t>n/a_control action_14_too long\ short</t>
  </si>
  <si>
    <t>n/a_control action_15_too long\ short</t>
  </si>
  <si>
    <t>n/a_control action_16_too long\ short</t>
  </si>
  <si>
    <t>n/a_control action_14_too soon/late</t>
  </si>
  <si>
    <t>n/a_control action_17_too long\ short</t>
  </si>
  <si>
    <t>n/a_control action_18_too long\ short</t>
  </si>
  <si>
    <t>n/a_control action_14_go wrong if not issued</t>
  </si>
  <si>
    <t>n/a_control action_19_too long\ short</t>
  </si>
  <si>
    <t>n/a_control action_15_go wrong if issued</t>
  </si>
  <si>
    <t>n/a_control action_17_too soon/late</t>
  </si>
  <si>
    <t>n/a_control action_20_too long\ short</t>
  </si>
  <si>
    <t>n/a_control action_16_go wrong if issued</t>
  </si>
  <si>
    <t>n/a_control action_22_too long\ short</t>
  </si>
  <si>
    <t>n/a_control action_17_go wrong if issued</t>
  </si>
  <si>
    <t>n/a_control action_19_too soon/late</t>
  </si>
  <si>
    <t>n/a_control action_23_too long\ short</t>
  </si>
  <si>
    <t>n/a_control action_18_go wrong if issued</t>
  </si>
  <si>
    <t>n/a_control action_18_go wrong if not issued</t>
  </si>
  <si>
    <t>n/a_control action_23_go wrong if not issued</t>
  </si>
  <si>
    <t>n/a_control action_24_go wrong if issued</t>
  </si>
  <si>
    <t>n/a_control action_20_too soon/late</t>
  </si>
  <si>
    <t>n/a_control action_24_too long\ short</t>
  </si>
  <si>
    <t>n/a_control action_19_go wrong if issued</t>
  </si>
  <si>
    <t>n/a_control action_21_too soon/late</t>
  </si>
  <si>
    <t>n/a_control action_20_go wrong if issued</t>
  </si>
  <si>
    <t>n/a_control action_22_too soon/late</t>
  </si>
  <si>
    <t>n/a_control action_23_too soon/late</t>
  </si>
  <si>
    <t>n/a_control action_22_go wrong if not issued</t>
  </si>
  <si>
    <t>n/a_control action_24_too soon/late</t>
  </si>
  <si>
    <t>n/a_FRAM_direction_deviation_12</t>
  </si>
  <si>
    <t>n/a_FRAM_direction_deviation_13</t>
  </si>
  <si>
    <t>n/a_FRAM_direction_deviation_14</t>
  </si>
  <si>
    <t>n/a_FRAM_direction_deviation_15</t>
  </si>
  <si>
    <t>n/a_FRAM_direction_deviation_16</t>
  </si>
  <si>
    <t>n/a_FRAM_direction_deviation_19</t>
  </si>
  <si>
    <t>n/a_FRAM_direction_deviation_20</t>
  </si>
  <si>
    <t>n/a_FRAM_direction_deviation_21</t>
  </si>
  <si>
    <t>n/a_FRAM_direction_deviation_22</t>
  </si>
  <si>
    <t>n/a_FRAM_direction_deviation_23</t>
  </si>
  <si>
    <t>n/a_FRAM_direction_deviation_25</t>
  </si>
  <si>
    <t>n/a_FRAM_direction_deviation_26</t>
  </si>
  <si>
    <t>n/a_FRAM_direction_deviation_27</t>
  </si>
  <si>
    <t>n/a_FRAM_direction_deviation_28</t>
  </si>
  <si>
    <t>n/a_FRAM_direction_deviation_32</t>
  </si>
  <si>
    <t>n/a_FRAM_direction_deviation_34</t>
  </si>
  <si>
    <t>n/a_FRAM_distance_deviation_2</t>
  </si>
  <si>
    <t>n/a_FRAM_distance_deviation_4</t>
  </si>
  <si>
    <t>n/a_FRAM_distance_deviation_12</t>
  </si>
  <si>
    <t>n/a_FRAM_distance_deviation_13</t>
  </si>
  <si>
    <t>n/a_FRAM_distance_deviation_14</t>
  </si>
  <si>
    <t>n/a_FRAM_distance_deviation_15</t>
  </si>
  <si>
    <t>n/a_FRAM_distance_deviation_16</t>
  </si>
  <si>
    <t>n/a_FRAM_distance_deviation_17</t>
  </si>
  <si>
    <t>n/a_FRAM_distance_deviation_18</t>
  </si>
  <si>
    <t>n/a_FRAM_distance_deviation_19</t>
  </si>
  <si>
    <t>n/a_FRAM_distance_deviation_20</t>
  </si>
  <si>
    <t>n/a_FRAM_distance_deviation_22</t>
  </si>
  <si>
    <t>n/a_FRAM_distance_deviation_23</t>
  </si>
  <si>
    <t>n/a_FRAM_distance_deviation_26</t>
  </si>
  <si>
    <t>n/a_FRAM_distance_deviation_27</t>
  </si>
  <si>
    <t>n/a_FRAM_distance_deviation_28</t>
  </si>
  <si>
    <t>n/a_FRAM_distance_deviation_30</t>
  </si>
  <si>
    <t>n/a_FRAM_distance_deviation_32</t>
  </si>
  <si>
    <t>n/a_FRAM_distance_deviation_34</t>
  </si>
  <si>
    <t>n/a_FRAM_object_deviation_12</t>
  </si>
  <si>
    <t>n/a_FRAM_object_deviation_13</t>
  </si>
  <si>
    <t>n/a_FRAM_object_deviation_14</t>
  </si>
  <si>
    <t>n/a_FRAM_object_deviation_15</t>
  </si>
  <si>
    <t>n/a_FRAM_object_deviation_16</t>
  </si>
  <si>
    <t>n/a_FRAM_object_deviation_20</t>
  </si>
  <si>
    <t>n/a_FRAM_object_deviation_21</t>
  </si>
  <si>
    <t>n/a_FRAM_object_deviation_22</t>
  </si>
  <si>
    <t>n/a_FRAM_object_deviation_25</t>
  </si>
  <si>
    <t>n/a_FRAM_object_deviation_26</t>
  </si>
  <si>
    <t>n/a_FRAM_object_deviation_27</t>
  </si>
  <si>
    <t>n/a_FRAM_object_deviation_28</t>
  </si>
  <si>
    <t>n/a_FRAM_object_deviation_32</t>
  </si>
  <si>
    <t>n/a_FRAM_object_deviation_34</t>
  </si>
  <si>
    <t>n/a_FRAM_temporal_deviation_8</t>
  </si>
  <si>
    <t>n/a_FRAM_temporal_deviation_12</t>
  </si>
  <si>
    <t>n/a_FRAM_temporal_deviation_13</t>
  </si>
  <si>
    <t>n/a_FRAM_temporal_deviation_14</t>
  </si>
  <si>
    <t>n/a_FRAM_temporal_deviation_15</t>
  </si>
  <si>
    <t>n/a_FRAM_temporal_deviation_18</t>
  </si>
  <si>
    <t>n/a_FRAM_temporal_deviation_20</t>
  </si>
  <si>
    <t>n/a_FRAM_temporal_deviation_24</t>
  </si>
  <si>
    <t>n/a_FRAM_temporal_deviation_27</t>
  </si>
  <si>
    <t>n/a_FRAM_temporal_deviation_28</t>
  </si>
  <si>
    <t>n/a_FRAM_temporal_deviation_32</t>
  </si>
  <si>
    <t>n/a_FRAM_temporal_deviation_34</t>
  </si>
  <si>
    <t>active_avp</t>
  </si>
  <si>
    <t>stabilised_own_aircraft_dynamics</t>
  </si>
  <si>
    <t>own_aircraft_pilot_decision_making_process</t>
  </si>
  <si>
    <t>by-passing_aircraft_position</t>
  </si>
  <si>
    <t>own_aircraft_pilot_situation_awareness</t>
  </si>
  <si>
    <t>own_aircraft_flight_path</t>
  </si>
  <si>
    <t>surrounding_airspace_safety</t>
  </si>
  <si>
    <t>avoidance_strategy_recommendation</t>
  </si>
  <si>
    <t>visual_information</t>
  </si>
  <si>
    <t>by-passing_aircraft_speed</t>
  </si>
  <si>
    <t>collision_avoidance_system</t>
  </si>
  <si>
    <t>by-passing_aircraft_proximity</t>
  </si>
  <si>
    <t>conflicted_atc</t>
  </si>
  <si>
    <t>own_aircraft_flight_management_system</t>
  </si>
  <si>
    <t>collision_threat</t>
  </si>
  <si>
    <t>own_aircraft_camera</t>
  </si>
  <si>
    <t>other_aircrafts</t>
  </si>
  <si>
    <t>by-passing_aircraft_motion_pattern</t>
  </si>
  <si>
    <t>weather_data</t>
  </si>
  <si>
    <t>by-passing_aircraft_detection_tracking</t>
  </si>
  <si>
    <t>own_aircraft_roll_change</t>
  </si>
  <si>
    <t>own_aircraft_pitch_change</t>
  </si>
  <si>
    <t>own_aircraft_yaw_change</t>
  </si>
  <si>
    <t>own_aircraft_speed</t>
  </si>
  <si>
    <t>cloud_turbulence</t>
  </si>
  <si>
    <t>own_aircraft_flight_maneuvers</t>
  </si>
  <si>
    <t>rerouting_instructions</t>
  </si>
  <si>
    <t>pilot_stress</t>
  </si>
  <si>
    <t>by-passing_aircraft_visibility</t>
  </si>
  <si>
    <t>unpredictable_by-passing_aircraft_actions</t>
  </si>
  <si>
    <t>by-passing_aircraft_dynamics</t>
  </si>
  <si>
    <t>by-passing_aircraft_hack_avp_threshold</t>
  </si>
  <si>
    <t>pilot_alerting_and_warning_systems</t>
  </si>
  <si>
    <t>collision_threat_alert</t>
  </si>
  <si>
    <t>surrounding_airspace_obstructions</t>
  </si>
  <si>
    <t>own_aircraft_flight_path_change</t>
  </si>
  <si>
    <t>non_deterministic_intelligent_algorithms</t>
  </si>
  <si>
    <t>by-passing_aircraft_direction</t>
  </si>
  <si>
    <t>by-passing_aircraft_altitude</t>
  </si>
  <si>
    <t>threat_predictive_model</t>
  </si>
  <si>
    <t>risk_of_potential_collision</t>
  </si>
  <si>
    <t>cockpit_display_systems</t>
  </si>
  <si>
    <t>aircrafts_existing_warning_systems</t>
  </si>
  <si>
    <t>own_aircraft_altitude</t>
  </si>
  <si>
    <t>own_aircraft_radar</t>
  </si>
  <si>
    <t>own_aircraft_lidar</t>
  </si>
  <si>
    <t>environmental_obstructions</t>
  </si>
  <si>
    <t>fog</t>
  </si>
  <si>
    <t>raindrops</t>
  </si>
  <si>
    <t>cloud_cover</t>
  </si>
  <si>
    <t>cloud_type</t>
  </si>
  <si>
    <t>landscape_background</t>
  </si>
  <si>
    <t>daytime</t>
  </si>
  <si>
    <t>sunlight</t>
  </si>
  <si>
    <t>sun_position</t>
  </si>
  <si>
    <t>by-passing_aircraft_flight_path</t>
  </si>
  <si>
    <t>collision_time</t>
  </si>
  <si>
    <t>own_aircraft_response_time</t>
  </si>
  <si>
    <t>own_aircraft_pilot_feedback</t>
  </si>
  <si>
    <t>avp_real_time_training</t>
  </si>
  <si>
    <t>by-passing_aircraft</t>
  </si>
  <si>
    <t>emergency_directives</t>
  </si>
  <si>
    <t>unsafe_proximity</t>
  </si>
  <si>
    <t>airspace_conflicts</t>
  </si>
  <si>
    <t>radar_and_visual_range</t>
  </si>
  <si>
    <t>airspace_visibility</t>
  </si>
  <si>
    <t>wind</t>
  </si>
  <si>
    <t>avp_confidence_threshold</t>
  </si>
  <si>
    <t>own_aircraft_proximity</t>
  </si>
  <si>
    <t>autonomous_collision_avoidance_maneuvers</t>
  </si>
  <si>
    <t>potential_collision_threat_alert</t>
  </si>
  <si>
    <t>collision_avoidance</t>
  </si>
  <si>
    <t>automated_own_aircraft_flight_path_change</t>
  </si>
  <si>
    <t>own_aircraft_altitude_change</t>
  </si>
  <si>
    <t>disturbed_own_aircraft_dynamics</t>
  </si>
  <si>
    <t>own_aircraft_speed_change</t>
  </si>
  <si>
    <t>accelerated_own_aircraft_dynamics</t>
  </si>
  <si>
    <t>accelerated_own_aircraft_roll</t>
  </si>
  <si>
    <t>accelerated_own_aircraft_pitch</t>
  </si>
  <si>
    <t>accelerated_own_aircraft_yaw</t>
  </si>
  <si>
    <t>own_aircraft_flight_management_system_override</t>
  </si>
  <si>
    <t>manual_own_aircraft_flight_path_change</t>
  </si>
  <si>
    <t>weather_conditions_change</t>
  </si>
  <si>
    <t>weather_data_change</t>
  </si>
  <si>
    <t>own_aircraft_dynamics_change</t>
  </si>
  <si>
    <t>unpredictable_other_aircrafts_decision</t>
  </si>
  <si>
    <t>automated_collision_avoidance_maneuvers</t>
  </si>
  <si>
    <t>avp_detection_communication_delay_hack</t>
  </si>
  <si>
    <t>pilot_cognitive_limit</t>
  </si>
  <si>
    <t>surrounding_airspace_restrictions</t>
  </si>
  <si>
    <t>military_aircraft_intrusion</t>
  </si>
  <si>
    <t>other_aircrafts_presence</t>
  </si>
  <si>
    <t>bird</t>
  </si>
  <si>
    <t>drone_presence</t>
  </si>
  <si>
    <t>wind_shear_effect_on_camera</t>
  </si>
  <si>
    <t>air_density_change_due_to_high_speed_effect_on_camera</t>
  </si>
  <si>
    <t>aircraft_attitude_control</t>
  </si>
  <si>
    <t>mechanical_wear_and_tear</t>
  </si>
  <si>
    <t>autopilot_system_failure</t>
  </si>
  <si>
    <t>information_overload_for_pilot</t>
  </si>
  <si>
    <t>highly_stressfull_event</t>
  </si>
  <si>
    <t>uncertain_clear_train_tracks_zone_open_space</t>
  </si>
  <si>
    <t>likely_derailed_train</t>
  </si>
  <si>
    <t>successful_adversarial_drone_response_strategies</t>
  </si>
  <si>
    <t>unsafe_moving_train</t>
  </si>
  <si>
    <t>uncertain_police_response_unit</t>
  </si>
  <si>
    <t>frequently_delayed_train</t>
  </si>
  <si>
    <t>impacted_all_trains_operations</t>
  </si>
  <si>
    <t>highly_probable_adversarial_drone_collision_with_unsafe_moving_train</t>
  </si>
  <si>
    <t>likely_inaccurate_response_time</t>
  </si>
  <si>
    <t>uncertain_police_response</t>
  </si>
  <si>
    <t>visible_train_tracks_obstruction</t>
  </si>
  <si>
    <t>failed_equipment</t>
  </si>
  <si>
    <t>more_roaming_adversarial_drones</t>
  </si>
  <si>
    <t>likely_police_comms_errors</t>
  </si>
  <si>
    <t>n/a_More_interaction_1</t>
  </si>
  <si>
    <t>n/a_Less_interaction_1</t>
  </si>
  <si>
    <t>n/a_As well as_interaction_1</t>
  </si>
  <si>
    <t>n/a_Part of_interaction_1</t>
  </si>
  <si>
    <t>n/a_Reverse_interaction_1</t>
  </si>
  <si>
    <t>n/a_Other than_interaction_1</t>
  </si>
  <si>
    <t>n/a_Where else_interaction_1</t>
  </si>
  <si>
    <t>n/a_Before_interaction_1</t>
  </si>
  <si>
    <t>n/a_after_interaction_1</t>
  </si>
  <si>
    <t>n/a_Early_interaction_1</t>
  </si>
  <si>
    <t>n/a_Faster_interaction_1</t>
  </si>
  <si>
    <t>n/a_slower_interaction_1</t>
  </si>
  <si>
    <t>n/a_Less_interaction_2</t>
  </si>
  <si>
    <t>n/a_As well as_interaction_2</t>
  </si>
  <si>
    <t>n/a_Part of_interaction_2</t>
  </si>
  <si>
    <t>n/a_Reverse_interaction_2</t>
  </si>
  <si>
    <t>n/a_Other than_interaction_2</t>
  </si>
  <si>
    <t>n/a_Where else_interaction_2</t>
  </si>
  <si>
    <t>n/a_Before_interaction_2</t>
  </si>
  <si>
    <t>n/a_after_interaction_2</t>
  </si>
  <si>
    <t>n/a_Early_interaction_2</t>
  </si>
  <si>
    <t>n/a_late_interaction_2</t>
  </si>
  <si>
    <t>n/a_Faster_interaction_2</t>
  </si>
  <si>
    <t>n/a_slower_interaction_2</t>
  </si>
  <si>
    <t>n/a_No_interaction_3</t>
  </si>
  <si>
    <t>n/a_More_interaction_3</t>
  </si>
  <si>
    <t>n/a_Less_interaction_3</t>
  </si>
  <si>
    <t>n/a_As well as_interaction_3</t>
  </si>
  <si>
    <t>n/a_Part of_interaction_3</t>
  </si>
  <si>
    <t>n/a_Reverse_interaction_3</t>
  </si>
  <si>
    <t>n/a_Where else_interaction_3</t>
  </si>
  <si>
    <t>n/a_Before_interaction_3</t>
  </si>
  <si>
    <t>n/a_after_interaction_3</t>
  </si>
  <si>
    <t>n/a_Early_interaction_3</t>
  </si>
  <si>
    <t>n/a_late_interaction_3</t>
  </si>
  <si>
    <t>n/a_slower_interaction_3</t>
  </si>
  <si>
    <t>n/a_No_interaction_4</t>
  </si>
  <si>
    <t>n/a_More_interaction_4</t>
  </si>
  <si>
    <t>n/a_Less_interaction_4</t>
  </si>
  <si>
    <t>n/a_Part of_interaction_4</t>
  </si>
  <si>
    <t>n/a_Reverse_interaction_4</t>
  </si>
  <si>
    <t>n/a_Other than_interaction_4</t>
  </si>
  <si>
    <t>n/a_Where else_interaction_4</t>
  </si>
  <si>
    <t>n/a_Before_interaction_4</t>
  </si>
  <si>
    <t>n/a_after_interaction_4</t>
  </si>
  <si>
    <t>n/a_late_interaction_4</t>
  </si>
  <si>
    <t>n/a_Faster_interaction_4</t>
  </si>
  <si>
    <t>n/a_slower_interaction_4</t>
  </si>
  <si>
    <t>n/a_No_interaction_5</t>
  </si>
  <si>
    <t>n/a_More_interaction_5</t>
  </si>
  <si>
    <t>n/a_Less_interaction_5</t>
  </si>
  <si>
    <t>n/a_As well as_interaction_5</t>
  </si>
  <si>
    <t>n/a_Part of_interaction_5</t>
  </si>
  <si>
    <t>n/a_Other than_interaction_5</t>
  </si>
  <si>
    <t>n/a_Where else_interaction_5</t>
  </si>
  <si>
    <t>n/a_Before_interaction_5</t>
  </si>
  <si>
    <t>n/a_after_interaction_5</t>
  </si>
  <si>
    <t>n/a_Early_interaction_5</t>
  </si>
  <si>
    <t>n/a_late_interaction_5</t>
  </si>
  <si>
    <t>n/a_slower_interaction_5</t>
  </si>
  <si>
    <t>n/a_More_interaction_6</t>
  </si>
  <si>
    <t>n/a_As well as_interaction_6</t>
  </si>
  <si>
    <t>n/a_Part of_interaction_6</t>
  </si>
  <si>
    <t>n/a_Reverse_interaction_6</t>
  </si>
  <si>
    <t>n/a_Other than_interaction_6</t>
  </si>
  <si>
    <t>n/a_Where else_interaction_6</t>
  </si>
  <si>
    <t>n/a_Before_interaction_6</t>
  </si>
  <si>
    <t>n/a_after_interaction_6</t>
  </si>
  <si>
    <t>n/a_Early_interaction_6</t>
  </si>
  <si>
    <t>n/a_late_interaction_6</t>
  </si>
  <si>
    <t>n/a_Faster_interaction_6</t>
  </si>
  <si>
    <t>n/a_slower_interaction_6</t>
  </si>
  <si>
    <t>not original</t>
  </si>
  <si>
    <t>original</t>
  </si>
  <si>
    <t>police_force_existing_capability</t>
  </si>
  <si>
    <t>prematurely_alerted_police</t>
  </si>
  <si>
    <t>delayed_ineffective_police_force_dispatch_response</t>
  </si>
  <si>
    <t>insuffecient_police_response_resources</t>
  </si>
  <si>
    <t>Tally</t>
  </si>
  <si>
    <t>Attention%</t>
  </si>
  <si>
    <t>Arch. Attention%</t>
  </si>
  <si>
    <t>monitoring_tracks_zone_surveillance</t>
  </si>
  <si>
    <t>unsynchronised_unsafe_trains_dispatches</t>
  </si>
  <si>
    <t>adversarial_drone_misses_train</t>
  </si>
  <si>
    <t>passing_through_tracks_zone</t>
  </si>
  <si>
    <t>uncertain_train_traffic_controller</t>
  </si>
  <si>
    <t>impactful_environmental_conditions</t>
  </si>
  <si>
    <t>operating_tracks_zone_surveillance</t>
  </si>
  <si>
    <t>remotely_control_roaming_adversarial_drone</t>
  </si>
  <si>
    <t>police_monitoring_tracks_zone_surveillance</t>
  </si>
  <si>
    <t>wrong_scheduled_unsafe_moving_train_passages</t>
  </si>
  <si>
    <t>wrong_route_scheduled_unsafe_moving_train_passages</t>
  </si>
  <si>
    <t>early_guidance_to_unsafe_moving_train_driver</t>
  </si>
  <si>
    <t>late_guidance_affecting_impacted_all_trains_operations</t>
  </si>
  <si>
    <t>wrong_guidance_recipient_unsafe_moving_train_driver</t>
  </si>
  <si>
    <t>wrong_direction_guidance_for_unsafe_moving_train</t>
  </si>
  <si>
    <t>inadequate_tracks_zone_fencing</t>
  </si>
  <si>
    <t>misplaced_tracks_zone_fencing</t>
  </si>
  <si>
    <t>partial_coverage_tracks_zone_fencing</t>
  </si>
  <si>
    <t>late_tracks_zone_surveillance</t>
  </si>
  <si>
    <t>wrong_tracks_zone_surveillance</t>
  </si>
  <si>
    <t>misoriented_tracks_zone_surveillance_cameras</t>
  </si>
  <si>
    <t>short_duration_tracks_zone_surveillance</t>
  </si>
  <si>
    <t>early_unsafe_moving_train_dispatch</t>
  </si>
  <si>
    <t>late_unsafe_moving_train_dispatch</t>
  </si>
  <si>
    <t>wrong_unsafe_moving_train_dispatch</t>
  </si>
  <si>
    <t>unsafe_moving_train_dispatched_into_wrong_tracks</t>
  </si>
  <si>
    <t>overextended_unsafe_moving_train_dispatch</t>
  </si>
  <si>
    <t>late_unauthorised_access_alert_affecting_impacted_all_trains_operations</t>
  </si>
  <si>
    <t>wrong_tracks_zone_unauthorised_access_alert</t>
  </si>
  <si>
    <t>undedected_adversarial_drone</t>
  </si>
  <si>
    <t>Wrong_weather_conditions_reported_to_uncertain_train_traffic_controller</t>
  </si>
  <si>
    <t>uncertain_police_officers_approach_wrong_zone</t>
  </si>
  <si>
    <t>misdirecting_surveillance_alert</t>
  </si>
  <si>
    <t>too_short_surveillance_alert</t>
  </si>
  <si>
    <t>scheduled_unsafe_moving_train_passage_time</t>
  </si>
  <si>
    <t>unsafe_dispatch_train</t>
  </si>
  <si>
    <t>Incorrect_unsafe_moving_train_information_broadcasted</t>
  </si>
  <si>
    <t>Incorrect_unsafe_moving_train_route_information_broadcasted</t>
  </si>
  <si>
    <t>traveling_dispatch_train</t>
  </si>
  <si>
    <t>ineffective_police_force_dispatch_response</t>
  </si>
  <si>
    <t>Impact on ML performance</t>
  </si>
  <si>
    <t>impactful</t>
  </si>
  <si>
    <t>not impactful</t>
  </si>
  <si>
    <t>Black Swan Situations</t>
  </si>
  <si>
    <r>
      <t xml:space="preserve">Typical: </t>
    </r>
    <r>
      <rPr>
        <sz val="11"/>
        <color theme="1"/>
        <rFont val="Aptos Narrow"/>
        <family val="2"/>
        <scheme val="minor"/>
      </rPr>
      <t>common concern in any problem scenario related to mid-air collision avoidance operations.</t>
    </r>
    <r>
      <rPr>
        <b/>
        <sz val="11"/>
        <color theme="1"/>
        <rFont val="Aptos Narrow"/>
        <family val="2"/>
        <scheme val="minor"/>
      </rPr>
      <t xml:space="preserve"> Atypical:</t>
    </r>
    <r>
      <rPr>
        <sz val="11"/>
        <color theme="1"/>
        <rFont val="Aptos Narrow"/>
        <family val="2"/>
        <scheme val="minor"/>
      </rPr>
      <t xml:space="preserve"> Novel and specific to this particular problem, can not possibly be encountered in any other problematic scenarios related to mid-air collision avoidance operations.</t>
    </r>
  </si>
  <si>
    <r>
      <t xml:space="preserve">Typical: </t>
    </r>
    <r>
      <rPr>
        <sz val="11"/>
        <color theme="1"/>
        <rFont val="Aptos Narrow"/>
        <family val="2"/>
        <scheme val="minor"/>
      </rPr>
      <t>common concern in any problem scenario related to railway safety or reliable operations.</t>
    </r>
    <r>
      <rPr>
        <b/>
        <sz val="11"/>
        <color theme="1"/>
        <rFont val="Aptos Narrow"/>
        <family val="2"/>
        <scheme val="minor"/>
      </rPr>
      <t xml:space="preserve"> Atypical:</t>
    </r>
    <r>
      <rPr>
        <sz val="11"/>
        <color theme="1"/>
        <rFont val="Aptos Narrow"/>
        <family val="2"/>
        <scheme val="minor"/>
      </rPr>
      <t xml:space="preserve"> Novel and specific to this particular problem, can not possibly be encountered in any other problematic scenarios related to railway safety and reliable operation. </t>
    </r>
    <r>
      <rPr>
        <b/>
        <sz val="11"/>
        <color theme="1"/>
        <rFont val="Aptos Narrow"/>
        <family val="2"/>
        <scheme val="minor"/>
      </rPr>
      <t>Originality:</t>
    </r>
    <r>
      <rPr>
        <sz val="11"/>
        <color theme="1"/>
        <rFont val="Aptos Narrow"/>
        <family val="2"/>
        <scheme val="minor"/>
      </rPr>
      <t xml:space="preserve"> Original or not original with respect to STAMP and FRAM outputs.</t>
    </r>
  </si>
  <si>
    <t>frequently delayed train</t>
  </si>
  <si>
    <t>unsafe train tracks zone structure</t>
  </si>
  <si>
    <t>highly probable adversarial drone collision with an unsafe moving train</t>
  </si>
  <si>
    <t>ineffectively managed drone intrusion</t>
  </si>
  <si>
    <t>reliable railways traffic control</t>
  </si>
  <si>
    <t>police force existing capability</t>
  </si>
  <si>
    <t>false negatives</t>
  </si>
  <si>
    <t>available ground-based security systems</t>
  </si>
  <si>
    <t>roaming adversarial drone</t>
  </si>
  <si>
    <t>TZSC system controller</t>
  </si>
  <si>
    <t>likely inaccurate response time</t>
  </si>
  <si>
    <t>safe secure police officer</t>
  </si>
  <si>
    <t>clear train tracks zone open space</t>
  </si>
  <si>
    <t>all trains operations</t>
  </si>
  <si>
    <t>uncertain train schedule timing</t>
  </si>
  <si>
    <t>inaccessible tracks zone</t>
  </si>
  <si>
    <t>late surveillance alert</t>
  </si>
  <si>
    <t>impacted all trains operations</t>
  </si>
  <si>
    <t>unsafe moving train</t>
  </si>
  <si>
    <t>police response unit</t>
  </si>
  <si>
    <t>false positives</t>
  </si>
  <si>
    <t>late orders</t>
  </si>
  <si>
    <t>prematurely alerted police</t>
  </si>
  <si>
    <t>inaccurate monitoring coverage</t>
  </si>
  <si>
    <t>tracks zone monitoring blind spot</t>
  </si>
  <si>
    <t>insufficient ineffective police force dispatch response</t>
  </si>
  <si>
    <t>delayed, ineffective police force dispatch response</t>
  </si>
  <si>
    <t>uncertain police response unit</t>
  </si>
  <si>
    <t>Prolonged deployment strains resources</t>
  </si>
  <si>
    <t>lost revenue</t>
  </si>
  <si>
    <t>bad weather</t>
  </si>
  <si>
    <t> The weather is a typical factor to consider in prior incidents.</t>
  </si>
  <si>
    <t> A typical situation to be considered in general in a typical problematic scenario over a train track zone.</t>
  </si>
  <si>
    <t>Dispersed rail corridors and resource staging often place officers far from incidents, lengthening response; a routine operational constraint rather than a novel issue.</t>
  </si>
  <si>
    <t>Delayed pursuit after initial sighting is common due to verification, safety checks, and airspace coordination, making late chase a typical incident‑response timing issue.</t>
  </si>
  <si>
    <t>Large standoff to maintain safety, line‑of‑sight, or jurisdiction boundaries routinely increases chase distance; operationally common in rail environments.</t>
  </si>
  <si>
    <t>Road congestion, crossings, and access constraints routinely delay ground units reaching rail sites; a standard logistical limitation, not novel.</t>
  </si>
  <si>
    <t>Monitoring often lags escalation while incident command reconfigures sensors and priorities; such short gaps are a typical response artifact.</t>
  </si>
  <si>
    <t>Environmental clutter, wildlife, and reflections routinely produce false positives in surveillance systems; a common, expected nuisance handled by filtering and SOPs.</t>
  </si>
  <si>
    <t>Sensor mislocalization or stale metadata frequently misdirects responders; alert routing errors are well‑known operational issues, not novel phenomena.</t>
  </si>
  <si>
    <t>Brief, threshold‑skimming detections commonly produce short alerts that clear before verification; standard behavior in detection systems.</t>
  </si>
  <si>
    <t>Timetable compression or irregular movements reducing safety margins is a routine scheduling risk considered in rail operations.</t>
  </si>
  <si>
    <t>Dispatch under incomplete protections or conflicting movements is a known operational hazard addressed by standard procedures and blocking rules.</t>
  </si>
  <si>
    <t>Wrong speed, consist, or hazard information broadcast is a familiar communications failure mode in control centers; not novel.</t>
  </si>
  <si>
    <t>Misrouted or outdated route data to responders/operators is a typical dispatch communications error observed in incident reviews.</t>
  </si>
  <si>
    <t>Movement of a dispatch train during incidents is a standard operating condition introducing predictable communication and coordination constraints; typical, not novel.</t>
  </si>
  <si>
    <t>Resource limits, prioritization, or coordination frictions routinely yield suboptimal dispatch performance; a well‑documented, typical operational challenge.</t>
  </si>
  <si>
    <t>Typicality Test</t>
  </si>
  <si>
    <r>
      <rPr>
        <b/>
        <sz val="11"/>
        <color theme="1"/>
        <rFont val="Aptos Narrow"/>
        <family val="2"/>
        <scheme val="minor"/>
      </rPr>
      <t xml:space="preserve">Originality </t>
    </r>
    <r>
      <rPr>
        <sz val="11"/>
        <color theme="1"/>
        <rFont val="Aptos Narrow"/>
        <family val="2"/>
        <scheme val="minor"/>
      </rPr>
      <t xml:space="preserve">(Original/Not original): how original the predicted situation is relative to prior literature about the problem space. It could be a repository of typical failures, or a project team-selected set of previous studies on the topic of safety. The prior literature can be any corpus of information to compare to. In this thesis, the predicted situations in Appendix G were used as prior literature to compare the outputs of the thinking approaches.  </t>
    </r>
  </si>
  <si>
    <r>
      <rPr>
        <b/>
        <sz val="11"/>
        <color theme="1"/>
        <rFont val="Aptos Narrow"/>
        <family val="2"/>
        <scheme val="minor"/>
      </rPr>
      <t>Typicality  Test</t>
    </r>
    <r>
      <rPr>
        <sz val="11"/>
        <color theme="1"/>
        <rFont val="Aptos Narrow"/>
        <family val="2"/>
        <scheme val="minor"/>
      </rPr>
      <t xml:space="preserve"> (Typical/Atypical): an expert-driven saliency classification outcome for that predicted situation. With respect to objective-reality framing, a predicted situation or scenario is classed as “Typical” if it can be objectively quantified, its risk can be defended, and it has substantive prior literature or is expected within the problem space across different scenarios. Being typical also means its impact is not open to different interpretations by the analyst.  Atypical: Novel and specific to this particular problem, can not possibly be encountered in any other problematic scenarios related to railway safety and reliable operation. It cannot be objectively quantified, nor can its risk. Its impact is subject to interpretation by the ML and Analyst.</t>
    </r>
  </si>
  <si>
    <t>Easy to objectively quantify</t>
  </si>
  <si>
    <t>Not Easy to objectively quantify</t>
  </si>
  <si>
    <t>Meaning</t>
  </si>
  <si>
    <t>Not typically notable in this type of problem space (operational domain)</t>
  </si>
  <si>
    <t>vegetation_complexity_growth (shape and visual appearace)</t>
  </si>
  <si>
    <t>Possible problematic scenario</t>
  </si>
  <si>
    <t>Not outside the expected relevance in such scenario or problem space</t>
  </si>
  <si>
    <t>Outside expected relevance  in such scenario or problem space</t>
  </si>
  <si>
    <t>it can not be objectively quantified, if there is a risk, the risk can not be quantified neither can be reasonably guaranteed</t>
  </si>
  <si>
    <t xml:space="preserve">High prior risk assessment is available </t>
  </si>
  <si>
    <t xml:space="preserve">Low or no prior risk assessment is available </t>
  </si>
  <si>
    <t>Its impact is open for interpretation by ML or Analyst</t>
  </si>
  <si>
    <t>Unauthorised UAS approaches rail assets undetected, triggering line closure and emergency response delays.</t>
  </si>
  <si>
    <t>Train enters work zone with incomplete protection, creating a near‑miss with the maintenance crew.</t>
  </si>
  <si>
    <t>Undetected fastener fatigue leads to gauge spread and speed restriction or derailment risk.</t>
  </si>
  <si>
    <t>Computer vision misclassifies hazards under low contrast, delaying alarms and operational response.</t>
  </si>
  <si>
    <t>Fence breach unnoticed; corridor access enables proximity to rolling stock and equipment.</t>
  </si>
  <si>
    <t>Random movements of downed branches affect ML perception reliability, obstruct rails, and reduce braking distance, causing overrun into the obstruction.</t>
  </si>
  <si>
    <t>Officers lack real‑time site picture; response routes conflict with active rail movements.</t>
  </si>
  <si>
    <t>Visual confusion near catenaries leads to sensor misreads; surveillance assets miss true hazards.</t>
  </si>
  <si>
    <t>Wheel climb on a defect magnifies into multi‑car derailment near public area.</t>
  </si>
  <si>
    <t>Sensor outage creates blind zone; intrusion undetected until operations impacted.</t>
  </si>
  <si>
    <t>Unstable UAS drift toward track centerline during train pass, prompting emergency stop.</t>
  </si>
  <si>
    <t>UAS sensing error causes unpredictable loiter near catenary; safety buffer violated.</t>
  </si>
  <si>
    <t>Pantograph entangles debris; arcing event forces unscheduled power isolation.</t>
  </si>
  <si>
    <t>Safety system fault masked by nuisance alarms; late braking command during obstruction.</t>
  </si>
  <si>
    <t>Intercept attempt distracts from perimeter safety, allowing secondary security gap.</t>
  </si>
  <si>
    <t>Driver misses low‑profile trackside hazard amid distraction; late braking.</t>
  </si>
  <si>
    <t>Visual clutter hides cracked components; inspection cycle misses early warning signs.</t>
  </si>
  <si>
    <t>Fatigue reduces vigilance; temporary speed restriction sign is overlooked.</t>
  </si>
  <si>
    <t>Camouflaged device blends with track furniture; delayed detection during patrol.</t>
  </si>
  <si>
    <t>Alarm flood desensitizes staff; critical alert dismissed as nuisance.</t>
  </si>
  <si>
    <t>Object on roof undetected; removal delayed due to access constraints and safety.</t>
  </si>
  <si>
    <t>Resource dispatch mismatched; critical location unguarded during peak exposure.</t>
  </si>
  <si>
    <t>Inaccurate geolocation misdirects responders; true hazard continues unobserved.</t>
  </si>
  <si>
    <t>Standing train blocks sightlines and crossings, increasing trespass and collision risk.</t>
  </si>
  <si>
    <t>Unrestrained items shift during braking; passenger injury risk increases.</t>
  </si>
  <si>
    <t>Irregular foliage creates false positives; operators miss genuine threat indicators.</t>
  </si>
  <si>
    <t>Overhead line geometry misguides sensors; hazard tracking degraded near masts.</t>
  </si>
  <si>
    <t>Sudden squall reduces adhesion and visibility; braking and detection performance decline.</t>
  </si>
  <si>
    <t>Predictable patrol routes leave temporal coverage gaps exploited by incidents.</t>
  </si>
  <si>
    <t>Poles and signage create blind corridors; monitoring fails to track moving hazards.</t>
  </si>
  <si>
    <t>Camouflage near track furniture delays recognition; response mobilization slowed.</t>
  </si>
  <si>
    <t>Backlight silhouettes hide small objects; detection algorithms underperform.</t>
  </si>
  <si>
    <t>Changing patterns defeat simple detectors; surveillance confidence drops below alert threshold.</t>
  </si>
  <si>
    <t>Low‑altitude path aligns with occluders; hazard proximity unnoticed until late.</t>
  </si>
  <si>
    <t>Patrol drone drops tracks intermittently; missed alerts during critical window.</t>
  </si>
  <si>
    <t>Sensor range limits leave access points unobserved; delayed intrusion discovery.</t>
  </si>
  <si>
    <t>Low‑visibility finish reduces human spotting; operations continue with unseen proximity.</t>
  </si>
  <si>
    <t>Anti‑glare surfaces lessen camera pickup; surveillance relies on less timely channels.</t>
  </si>
  <si>
    <t>Misconfiguration enables message loss; safety alerts fail to reach crew.</t>
  </si>
  <si>
    <t>Seasonal debris plus slipstream lofts objects onto track; strike hazard.</t>
  </si>
  <si>
    <t>Incomplete intel on UAS intent causes conservative slowdowns and service disruption.</t>
  </si>
  <si>
    <t>Overcrowding at platform edges increases incident likelihood during delays.</t>
  </si>
  <si>
    <t>Temporary works reduce barrier integrity; unauthorized access increases.</t>
  </si>
  <si>
    <t>Incident coincides with shift change; response latency increases.</t>
  </si>
  <si>
    <t>Unreported obstacle within clearance envelope forces emergency braking.</t>
  </si>
  <si>
    <t>Timetable compression reduces recovery margins; cascading delays amplify risk.</t>
  </si>
  <si>
    <t>Worksite miscommunication leaves equipment foul of track when train arrives.</t>
  </si>
  <si>
    <t>Responders lack updated site layout; access route conflicts with live track.</t>
  </si>
  <si>
    <t>Subgrade washout creates hidden void; track buckles under load.</t>
  </si>
  <si>
    <t>Fence pattern confuses basic detectors; intrusion remains unnoticed longer.</t>
  </si>
  <si>
    <t>Calibration drift reduces accuracy; false clears accepted during audit.</t>
  </si>
  <si>
    <t>Timestamp errors corrupt feeds; operators act on stale situational data.</t>
  </si>
  <si>
    <t>Adaptive textures reduce surveillance saliency; late manual spotting.</t>
  </si>
  <si>
    <t>Overestimated cover leaves hazard exposed to passengers before detection.</t>
  </si>
  <si>
    <t>Unexpected object strike damages equipment; investigation halts services.</t>
  </si>
  <si>
    <t>Aggressive threading near structures results in crash debris on track.</t>
  </si>
  <si>
    <t>Uncoordinated counter‑UAS playbook triggers conflicting site actions.</t>
  </si>
  <si>
    <t>Network congestion compounds minor incident into systemwide delay and safety knock‑ons.</t>
  </si>
  <si>
    <t>Backup link untested; switchover fails during incident communications.</t>
  </si>
  <si>
    <t>Low‑altitude control error places object inside clearance envelope near passing train.</t>
  </si>
  <si>
    <t>Unexpected altitude profile intersects overhead equipment; near contact event.</t>
  </si>
  <si>
    <t>Background textures hide small hazards; automatic detection confidence drops.</t>
  </si>
  <si>
    <t>High illuminance causes camera saturation; surveillance gaps appear.</t>
  </si>
  <si>
    <t>Rapid dusk transition degrades recognition; alerts arrive too late.</t>
  </si>
  <si>
    <t>Seasonal texture shift breaks templates; detectors miss unusual intrusions.</t>
  </si>
  <si>
    <t>Everyday items misidentified as threats; real hazard filtered out.</t>
  </si>
  <si>
    <t>Altered silhouette evades shape‑based filters; detection delayed.</t>
  </si>
  <si>
    <t>Intermittent connectivity drops alarms; operators miss escalation cues.</t>
  </si>
  <si>
    <t>Dedicated channel congests; site control receives fragmented instructions.</t>
  </si>
  <si>
    <t>Suppressed signature delays recognition; hazard proximity increases unnoticed.</t>
  </si>
  <si>
    <t>Underestimated severity triggers insufficient response; operations continue unsafely.</t>
  </si>
  <si>
    <t>Patrol path misses siding; intrusion occurs in unvisited pocket.</t>
  </si>
  <si>
    <t>Known blind sectors remain unaddressed; repeated incursions exploit gap.</t>
  </si>
  <si>
    <t>Alert routing misconfigured; field staff not notified until after exposure.</t>
  </si>
  <si>
    <t>Occlusion corridor hides movement; observers lose track near fence line.</t>
  </si>
  <si>
    <t>Gap between fence and train used as unseen corridor; late visual pickup.</t>
  </si>
  <si>
    <t>Gust‑aligned path reduces detectability; hazard unobserved during wind peak.</t>
  </si>
  <si>
    <t>Sensor fusion accepts corrupted feed; false situational picture guides actions.</t>
  </si>
  <si>
    <t>Bright zones create glare; CCTV misses small moving objects.</t>
  </si>
  <si>
    <t>Structure‑cast shadows mask activity; perimeter patrol overlooks movement.</t>
  </si>
  <si>
    <t>Activity continues within modeled low‑detection intervals; monitoring fails to trigger.</t>
  </si>
  <si>
    <t>Airborne particulates confound optics; detectors suppress true positives.</t>
  </si>
  <si>
    <t>Very low flight path remains below typical sightlines; late detection.</t>
  </si>
  <si>
    <t>Low‑contrast backdrops degrade automated recognition; risk cues missed.</t>
  </si>
  <si>
    <t>Dim scenes reduce VIO/detection reliability; hazard position uncertain.</t>
  </si>
  <si>
    <t>Low‑reflectivity surfaces avoid glints; visual pickup degraded.</t>
  </si>
  <si>
    <t>Haze corridor hides movement; observers misjudge distance and presence.</t>
  </si>
  <si>
    <t>Car gap occlusion hides hazard until last moment; limited reaction time.</t>
  </si>
  <si>
    <t>Activity synchronized with shift change escapes timely oversight.</t>
  </si>
  <si>
    <t>Incorrect assumptions about patrol cycles route hazard through coverage gap.</t>
  </si>
  <si>
    <t>Officer approach conflicts with live tracks; near‑miss at crossing.</t>
  </si>
  <si>
    <t>EMF noise degrades sensors; monitoring misses nearby hazard.</t>
  </si>
  <si>
    <t>Catenary alignments obscure sightlines; hazard tracked too late.</t>
  </si>
  <si>
    <t>Arcing distracts operators; real hazard overlooked in same scene.</t>
  </si>
  <si>
    <t>Routine timing enables repeated incidents between patrol passes.</t>
  </si>
  <si>
    <t>Wind‑driven motion triggers false alarms; true alerts lost in noise.</t>
  </si>
  <si>
    <t>Pattern updates disrupt classifier confidence; alarm threshold not reached.</t>
  </si>
  <si>
    <t>Localized system fault dispatches trains onto congested segment; margins shrink.</t>
  </si>
  <si>
    <t>Inaccurate metadata reduces alert credibility; delayed on‑scene action.</t>
  </si>
  <si>
    <t>Environment‑matched skins defeat quick visual checks; hazard proximity increases.</t>
  </si>
  <si>
    <t>GNSS‑denied navigation drift causes unpredictable loiter near live tracks.</t>
  </si>
  <si>
    <t>Elevated ambient noise masks acoustic cues; observers miss approach.</t>
  </si>
  <si>
    <t>Sudden tonal peaks cause misplaced focus; true threat not located.</t>
  </si>
  <si>
    <t>Quiet operation delays human detection; incident persists longer.</t>
  </si>
  <si>
    <t>Multiple UAS reports saturate response; triage delays addressing actual hazard.</t>
  </si>
  <si>
    <t>Missing identifiers hinder correlation; the same hazard repeatedly “rediscovered.”</t>
  </si>
  <si>
    <t>Erratic behavior flags overload analysts; prioritized response misassigned.</t>
  </si>
  <si>
    <t>Link encryption prevents rapid intel sharing; responders lack actionable location.</t>
  </si>
  <si>
    <t>Very small form factor evades sensors; close approach unnoticed.</t>
  </si>
  <si>
    <t>Temporary closures shift patrol patterns; unobserved corridor emerges.</t>
  </si>
  <si>
    <t>Poor cordon design exposes officers to train movement near incident.</t>
  </si>
  <si>
    <t>Dynamic shadow bands conceal movement; surveillance misses brief exposures.</t>
  </si>
  <si>
    <t>Glints blind cameras intermittently; hazard track consistency lost.</t>
  </si>
  <si>
    <t>Color matching with ballast and sleepers reduces visibility; late manual detection.</t>
  </si>
  <si>
    <t>Activity synchronized with train pass masks noise and motion cues.</t>
  </si>
  <si>
    <t>Notification delays exceed response targets; hazard persists on scene.</t>
  </si>
  <si>
    <t>Latent data feed misrepresents current state; wrong area patrolled.</t>
  </si>
  <si>
    <t>Misplacement leaves critical siding uncovered; incidents go unseen.</t>
  </si>
  <si>
    <t>Data quality issues drive false assurance; hazard proximity unrecognized.</t>
  </si>
  <si>
    <t>Missing data intervals hide approach; alarms resume post‑exposure.</t>
  </si>
  <si>
    <t>Unchallenged anomalous values accepted as normal; operators overlook incident.</t>
  </si>
  <si>
    <t>High density blocks line‑of‑sight; inspection and patrol effectiveness reduced.</t>
  </si>
  <si>
    <t>Power anomaly misinterpreted; unscheduled isolation disrupts operations and safety systems.</t>
  </si>
  <si>
    <t>Slipstream effects loft debris into track; driver receives late cue.</t>
  </si>
  <si>
    <t>Complex geometry creates unobserved corridors; monitoring coverage holes persist.</t>
  </si>
  <si>
    <t>Vibration degrades cameras; short surveillance gaps coincide with hazards.</t>
  </si>
  <si>
    <t>Stacked materials near right‑of‑way block cameras; alarms suppressed.</t>
  </si>
  <si>
    <t>Ballast texture confuses detectors; small objects go unnoticed.</t>
  </si>
  <si>
    <t>Fence texture alignment hides motion; tracking drops intermittently.</t>
  </si>
  <si>
    <t>Branch lattice creates occlusion tunnel; hazard unseen until close.</t>
  </si>
  <si>
    <t>Seasonal foliage colors reduce contrast; human spotters miss cues.</t>
  </si>
  <si>
    <t>Systematic use of occluders breaks persistent tracking; response arrives late.</t>
  </si>
  <si>
    <t>Not outside the expected relevance in such a scenario or problem space</t>
  </si>
  <si>
    <t>Outside expected relevance  in such a scenario or problem space</t>
  </si>
  <si>
    <t>Typically, notable in this type of problem space (operational domain)</t>
  </si>
  <si>
    <t>It can be objectively quantified. If there is a risk, the risk can be quantified and can be reasonably guaranteed</t>
  </si>
  <si>
    <t>It cannot be objectively quantified. If there is a risk, the risk cannot be quantified, nor can it be reasonably guaranteed</t>
  </si>
  <si>
    <t>Its impact is open for interpretation by ML or an analyst</t>
  </si>
  <si>
    <t>Its impact is not open for interpretation by ML or an analyst</t>
  </si>
  <si>
    <t>Undetected icing induces oscillations; AVP assumes stability and issues incorrect guidance; conflict escalates.</t>
  </si>
  <si>
    <t>Automation bias emerges; pilot defers judgment to AVP, ignoring contradictory cues; unsafe convergence.</t>
  </si>
  <si>
    <t>Alert floods and fatigue reduce situational awareness; intruder unnoticed until late; rushed maneuver.</t>
  </si>
  <si>
    <t>Datum error causes silent route drift; AVP predicts wrong CPA; vector commands create conflict.</t>
  </si>
  <si>
    <t>Surveillance outage produces stale traffic picture; AVP trusts feed; unsafe vector into occupied sector.</t>
  </si>
  <si>
    <t>Policy trained in fair weather recommends climb into crossing traffic during convective buildup.</t>
  </si>
  <si>
    <t>Sun glare saturates camera; intruder undetected; AVP assumes clear visuals; late alert.</t>
  </si>
  <si>
    <t>Doppler notch underestimates intruder speed; CPA miscomputed; turn direction chosen incorrectly.</t>
  </si>
  <si>
    <t>Two sectors issue conflicting headings; pilot compliance creates crossing geometry; AVP slow to reconcile.</t>
  </si>
  <si>
    <t>Mode reversion unnoticed; lateral deviation occurs near traffic; AVP assumes managed path.</t>
  </si>
  <si>
    <t>Classifier saturation during clutter hides rising risk; alert arrives after maneuver window closes.</t>
  </si>
  <si>
    <t>Uplink delay misstates winds; microburst unmodeled; AVP overestimates climb, recommending unsafe escape.</t>
  </si>
  <si>
    <t>Track coalescence merges two aircraft; AVP treats one target; maneuver penetrates unseen traffic.</t>
  </si>
  <si>
    <t>Crosswind yaw correction insufficient; lateral drift crosses adjacent airway during merge.</t>
  </si>
  <si>
    <t>Pitot icing corrupts airspeed; AVP miscalculates closure; late avoidance.</t>
  </si>
  <si>
    <t>Datalink drop hides reroute; aircraft continues old path into newly occupied corridor.</t>
  </si>
  <si>
    <t>Alert cascade induces tunnel vision; pilot misses critical RA; wrong maneuver selection.</t>
  </si>
  <si>
    <t>Haze and sun angle defeat visual acquisition; AVP assumes visual contact; delayed advisory.</t>
  </si>
  <si>
    <t>Intruder initiates emergency descent; AVP recommends climb into its path.</t>
  </si>
  <si>
    <t>Sudden acceleration breaks filter; CPA estimate flips; hazardous turn executed.</t>
  </si>
  <si>
    <t>Aural alert muted inadvertently; visual cue missed; late compliance with RA.</t>
  </si>
  <si>
    <t>Maintenance inhibit left active; no threat alert during converging approach.</t>
  </si>
  <si>
    <t>Rapid fog bank forms; camera blind; AVP maintains VMC assumptions; intruder missed.</t>
  </si>
  <si>
    <t>Autopilot mode trap prevents commanded path change; trajectory enters conflicted airway.</t>
  </si>
  <si>
    <t>Stochastic policy flips under edge case; contradictory recommendations confuse pilot.</t>
  </si>
  <si>
    <t>GPS spoofing rotates intruder heading; AVP predicts wrong pass side; unsafe turn.</t>
  </si>
  <si>
    <t>Legacy TAWS nuisance alerts cause desensitization; genuine traffic alert ignored.</t>
  </si>
  <si>
    <t>Heavy precipitation creates false returns; tracker misassociates targets; wrong guidance.</t>
  </si>
  <si>
    <t>Volcanic ash plume reduces visibility and sensor effectiveness; intruder lost.</t>
  </si>
  <si>
    <t>Lens smear refracts lights; false intruder distracts; real threat overlooked.</t>
  </si>
  <si>
    <t>Uniform overcast reduces texture; optical flow fails; speed inferred incorrectly.</t>
  </si>
  <si>
    <t>Towering cumulus misclassified; strong updrafts unmodeled; climb instruction hazardous.</t>
  </si>
  <si>
    <t>City lights mimic traffic at distance; false positives distract from approaching intruder.</t>
  </si>
  <si>
    <t>Twilight transition miscalibrates exposure; brief detection gap during merge.</t>
  </si>
  <si>
    <t>Sun glint aligns with intruder; detector blinded; advisory late.</t>
  </si>
  <si>
    <t>Low sun behind target reduces contrast; tracker drops lock during closure.</t>
  </si>
  <si>
    <t>Control saturation slows response; available escape window closes.</t>
  </si>
  <si>
    <t>Misclick acknowledges wrong advisory; system commits to unsafe plan.</t>
  </si>
  <si>
    <t>Online update drifts after mislabeled event; precision drops; missed detection.</t>
  </si>
  <si>
    <t>Conflicting ATC and AVP directives; pilot hesitates; separation erodes.</t>
  </si>
  <si>
    <t>GPS multipath overestimates distance; alert suppressed; actual separation breached.</t>
  </si>
  <si>
    <t>Sector compression funnels traffic; AVP unaware of metering; unsafe crossing vector.</t>
  </si>
  <si>
    <t>Antenna fault reduces range; intruder detected too late for gentle resolution.</t>
  </si>
  <si>
    <t>Wildfire smoke lowers visibility; AVP overestimates detectability; late alert.</t>
  </si>
  <si>
    <t>Frequent false alerts cause fatigue; crew ignores subsequent genuine threat.</t>
  </si>
  <si>
    <t>Nav database error reroutes into restricted, congested airspace.</t>
  </si>
  <si>
    <t>Climb into icing reduces performance; cannot reach clearance above traffic.</t>
  </si>
  <si>
    <t>Wake encounter causes roll upset; AVP mispredicts controllability; unsafe command.</t>
  </si>
  <si>
    <t>Throttle transient lags; timing slip places aircraft abeam intruder at CPA.</t>
  </si>
  <si>
    <t>High acceleration saturates tracker; motion blur; target lost at merge.</t>
  </si>
  <si>
    <t>High roll rate hits gimbal limits; camera blind sector during close pass.</t>
  </si>
  <si>
    <t>Rapid pitch breaks horizon detector; misclassification; late RA.</t>
  </si>
  <si>
    <t>Fast yaw breaks data association; tracker swaps targets; wrong guidance.</t>
  </si>
  <si>
    <t>Manual override disables protections; autopilot reversion surprises crew; trajectory deviates near traffic.</t>
  </si>
  <si>
    <t>Pilot turns manually; AVP not updated; CPA based on stale path; unsafe.</t>
  </si>
  <si>
    <t>Rapid deterioration; model confidence unjustifiably high; diversion delayed.</t>
  </si>
  <si>
    <t>Fuel transfer shifts CG; control response changes; AVP uses stale dynamics.</t>
  </si>
  <si>
    <t>Intruder declares emergency; deviates unexpectedly; AVP continues nominal prediction.</t>
  </si>
  <si>
    <t>Injected network delay defers alerts; escape window lost.</t>
  </si>
  <si>
    <t>High workload causes missed AVP cue; delayed compliance with RA.</t>
  </si>
  <si>
    <t>Temporary restricted area unrecognized; displaced traffic density spikes; unsafe vectoring.</t>
  </si>
  <si>
    <t>Swarm of small UAVs overwhelms tracker; false merges hide real conflicts.</t>
  </si>
  <si>
    <t>Adversarial drone with reflective decals defeats classifier; detection too late.</t>
  </si>
  <si>
    <t>Autopilot fails during RA; manual takeover delayed; insufficient separation.</t>
  </si>
  <si>
    <t>Cascading alerts overwhelm pilot; freeze delays response to genuine threat.</t>
  </si>
  <si>
    <t>Bird strike coincides with RA; stress impairs judgment; wrong maneuver chosen.</t>
  </si>
  <si>
    <t>Multipath/track swap mislocates intruder; AVP resolves wrong side; separation erodes unexpectedly.</t>
  </si>
  <si>
    <t>ADS-B latency underestimates proximity; AVP withholds alert; separation breach.</t>
  </si>
  <si>
    <t>Fog droplets on dome cause auto exposure oscillation; tracking intermittently drops intruder.</t>
  </si>
  <si>
    <t>Non-cooperative glider lacks transponder; radar fade; detected too late for gentle resolution.</t>
  </si>
  <si>
    <t>Intruder performs S-turns; filter lags intent change; AVP commands unsafe crossing maneuver.</t>
  </si>
  <si>
    <t>Mis-trim induces pitch oscillation; commanded climb briefly descends into conflicted level.</t>
  </si>
  <si>
    <t>Underestimated turbulence triggers pilot-induced oscillation; guidance timing off; conflict worsens.</t>
  </si>
  <si>
    <t>High bank turn creates sensor blind sector; intruder lost during merge.</t>
  </si>
  <si>
    <t>Adversary lowers thresholds; false alert flood; pilot disables AVP; real threat unnoticed.</t>
  </si>
  <si>
    <t>Unnotified crane protrudes; low altitude avoidance vector intersects obstacle.</t>
  </si>
  <si>
    <t>QNH mis-set causes vertical offset; illusory separation; climb instruction conflicts.</t>
  </si>
  <si>
    <t>Model trained on limited encounter geometries fails to generalize; novel approach vector unrecognized; delayed threat classification.</t>
  </si>
  <si>
    <t>Over-optimistic risk estimate due to uncalibrated uncertainty; AVP underweights tail risk; insufficient alerting margin.</t>
  </si>
  <si>
    <t>Display symbology ambiguous during high-density traffic; pilot misinterprets threat vector; delayed response.</t>
  </si>
  <si>
    <t>Altimeter mis-setting causes altitude bust; aircraft levels within protected altitude.</t>
  </si>
  <si>
    <t>Ground clutter masks low RCS drone; radar misses; AVP overtrusts radar channel.</t>
  </si>
  <si>
    <t>Sudden patch triggers auto gain bloom; delayed detection; late RA.</t>
  </si>
  <si>
    <t>Curved approach misinterpreted as straight-in; extrapolation error creates conflict.</t>
  </si>
  <si>
    <t>Latency underestimates time to collision; maneuver initiated too late.</t>
  </si>
  <si>
    <t>Low RCS livery reduces radar return; intruder only visually detected, too late.</t>
  </si>
  <si>
    <t>Unforecasted wind shear displaces aircraft laterally; AVP path prediction outdated; crossing conflict.</t>
  </si>
  <si>
    <t>Over-conservative threshold suppresses true detections; repeated late advisories.</t>
  </si>
  <si>
    <t>Baro VNAV error gives false comfort; drift into wake of heavy aircraft.</t>
  </si>
  <si>
    <t>Simultaneous auto maneuvers by both aircraft synchronize into renewed conflict.</t>
  </si>
  <si>
    <t>AVP turn conflicts with intruder's TCAS climb; incompatible advisories increase risk.</t>
  </si>
  <si>
    <t>Corrupted uplinked winds; AVP miscomputes time to collision; late action.</t>
  </si>
  <si>
    <t>Auto turn executed into conflicting altitude assignment; ATC coordination absent.</t>
  </si>
  <si>
    <t>Non-cooperative military flight enters airway; AVP lacks IFF; misclassification.</t>
  </si>
  <si>
    <t>Flock misclassified as clutter; runway adjacent ingestion risk during go-around.</t>
  </si>
  <si>
    <t>Shear vibrates mount; rolling shutter artifacts; tracker loses lock at merge.</t>
  </si>
  <si>
    <t>High-speed compressibility glare distorts video; false negatives during pass.</t>
  </si>
  <si>
    <t>Control law oscillations after update; unstable guidance near traffic.</t>
  </si>
  <si>
    <t>Degraded actuator adds latency; commanded avoidance underperforms; near loss of separation.</t>
  </si>
  <si>
    <t>Dataset bias delays Resolution Advisory in cluttered airspace; pilot trusts late advisory; near miss during crossing traffic.</t>
  </si>
  <si>
    <t>TCAS inhibited by configuration; no Resolution Advisory during converging paths; crew expects alert that never arrives.</t>
  </si>
  <si>
    <t>Servo lag overshoots bank; climb command increases closure; Resolution Advisory reversals follow.</t>
  </si>
  <si>
    <t xml:space="preserve">Dense foliage masks adversarial drone presence. Also, random movement could impact the reliability of the eagle drone perception.  </t>
  </si>
  <si>
    <t>passenger_safe_arrival_to_destination_</t>
  </si>
  <si>
    <t>Not Found</t>
  </si>
  <si>
    <t>guided_moving_train_driver</t>
  </si>
  <si>
    <t>negligible</t>
  </si>
  <si>
    <t>Level 1: Class</t>
  </si>
  <si>
    <r>
      <t>Level 2</t>
    </r>
    <r>
      <rPr>
        <b/>
        <sz val="11"/>
        <color rgb="FF000000"/>
        <rFont val="Aptos"/>
        <family val="2"/>
      </rPr>
      <t xml:space="preserve"> </t>
    </r>
    <r>
      <rPr>
        <sz val="11"/>
        <color rgb="FF000000"/>
        <rFont val="Aptos"/>
        <family val="2"/>
      </rPr>
      <t>&amp;</t>
    </r>
    <r>
      <rPr>
        <b/>
        <sz val="11"/>
        <color rgb="FF000000"/>
        <rFont val="Aptos"/>
        <family val="2"/>
      </rPr>
      <t xml:space="preserve"> </t>
    </r>
    <r>
      <rPr>
        <sz val="11"/>
        <color rgb="FF000000"/>
        <rFont val="Aptos"/>
        <family val="2"/>
      </rPr>
      <t>Level 3</t>
    </r>
    <r>
      <rPr>
        <b/>
        <sz val="11"/>
        <color rgb="FF000000"/>
        <rFont val="Aptos"/>
        <family val="2"/>
      </rPr>
      <t xml:space="preserve">: </t>
    </r>
    <r>
      <rPr>
        <sz val="11"/>
        <color rgb="FF000000"/>
        <rFont val="Aptos"/>
        <family val="2"/>
      </rPr>
      <t>Attributes</t>
    </r>
  </si>
  <si>
    <t>Level 4: Attributes</t>
  </si>
  <si>
    <t>ODD natural surrounding taxonomy</t>
  </si>
  <si>
    <t>Weather Conditions Variety Definition</t>
  </si>
  <si>
    <t>Temperature</t>
  </si>
  <si>
    <t>Extreme Cold: Below -30°C</t>
  </si>
  <si>
    <t>Severe Cold: -30°C to -10°C</t>
  </si>
  <si>
    <t>Cold: -10°C to 0°C</t>
  </si>
  <si>
    <t>Cool: 0°C to 10°C</t>
  </si>
  <si>
    <t>Mild: 10°C to 20°C</t>
  </si>
  <si>
    <t>Warm: 20°C to 30°C</t>
  </si>
  <si>
    <t>Hot: 30°C to 40°C</t>
  </si>
  <si>
    <t>Extreme Hot: Above 40°C</t>
  </si>
  <si>
    <t>Precipitation</t>
  </si>
  <si>
    <t>Snow</t>
  </si>
  <si>
    <t>Light snow: 1km (5/8 statute mile) or more associated visibility</t>
  </si>
  <si>
    <t>Moderate snow: &lt; 1km &gt; 0.5km (5/16 statue mile) associated visibility</t>
  </si>
  <si>
    <t>Heavy snow: &lt; 0.5km associated visibility</t>
  </si>
  <si>
    <t>Rainfall</t>
  </si>
  <si>
    <t>Light rain: &lt; 0.25 centimeters per hour</t>
  </si>
  <si>
    <t>Moderate rain: 0.26 - 0.76 centimeters per hour</t>
  </si>
  <si>
    <t>Heavy rain: &gt; 0.76 centimeters per hour</t>
  </si>
  <si>
    <t>Freezing rain</t>
  </si>
  <si>
    <t>Hail</t>
  </si>
  <si>
    <t>Drizzle</t>
  </si>
  <si>
    <t>Wind</t>
  </si>
  <si>
    <t>Light air: 1-3 mph</t>
  </si>
  <si>
    <t>Light breeze: 5-7 mph</t>
  </si>
  <si>
    <t>Gentle breeze: 8-12 mph</t>
  </si>
  <si>
    <t>Moderate breeze: 13-18 mph</t>
  </si>
  <si>
    <t>Fresh breeze: 20-24 mph</t>
  </si>
  <si>
    <t>Strong breeze: 25-31 mph</t>
  </si>
  <si>
    <t>Near gale: 32-38 mph</t>
  </si>
  <si>
    <t>Gale: 39-46 mph</t>
  </si>
  <si>
    <t>Strong gale: 47-54 mph</t>
  </si>
  <si>
    <t>Storm: 55-63 mph</t>
  </si>
  <si>
    <t>Violent storm: 64-72 mph</t>
  </si>
  <si>
    <t>Hurricane: 74+ mph</t>
  </si>
  <si>
    <t>Humidity</t>
  </si>
  <si>
    <t>Low Absolute Humidity</t>
  </si>
  <si>
    <t>Moderate Absolute Humidity</t>
  </si>
  <si>
    <t>High Absolute Humidity</t>
  </si>
  <si>
    <t>Pressure</t>
  </si>
  <si>
    <t>Absolute Pressure Levels</t>
  </si>
  <si>
    <t>Low Atmospheric Pressure</t>
  </si>
  <si>
    <t>Normal Atmospheric Pressure</t>
  </si>
  <si>
    <t>High Atmospheric Pressure</t>
  </si>
  <si>
    <t>Pressure Variation Types</t>
  </si>
  <si>
    <t>Stable Pressure</t>
  </si>
  <si>
    <t>Fluctuating Pressure</t>
  </si>
  <si>
    <t>Seasonal Pressure Variations</t>
  </si>
  <si>
    <t>Pressure Gradient</t>
  </si>
  <si>
    <t>Low Pressure Gradient</t>
  </si>
  <si>
    <t>Moderate Pressure Gradient</t>
  </si>
  <si>
    <t>High Pressure Gradient</t>
  </si>
  <si>
    <t>Altitude-Based Pressure Levels</t>
  </si>
  <si>
    <t>Sea-Level Pressure</t>
  </si>
  <si>
    <t>Low-Altitude Pressure</t>
  </si>
  <si>
    <t>Medium-Altitude Pressure</t>
  </si>
  <si>
    <t>High-Altitude Pressure</t>
  </si>
  <si>
    <t>Fog</t>
  </si>
  <si>
    <t>Fog severity = 5: 200 (61)–0 visibility in feet (meters)</t>
  </si>
  <si>
    <t>Fog severity = 4: 800 (244)–200 (61) visibility in feet (meters)</t>
  </si>
  <si>
    <t>Fog severity = 3: 2,640 (805)–800 (244) visibility in feet (meters)</t>
  </si>
  <si>
    <t>Fog severity = 2: 5,280 (1609) (mist) -2,640 (805) visibility in feet (meters)</t>
  </si>
  <si>
    <t>Fog severity = 1: &gt;5,280 (1609) (mist) visibility in feet (meters)</t>
  </si>
  <si>
    <t>UV Index</t>
  </si>
  <si>
    <t>Low UV Index: [0-2]</t>
  </si>
  <si>
    <t>Moderate UV Index: [3-5]</t>
  </si>
  <si>
    <t>High UV Index: [6-7]</t>
  </si>
  <si>
    <t>Very High UV Index: [8-10]</t>
  </si>
  <si>
    <t>Extreme UV Index: [11+]</t>
  </si>
  <si>
    <t>Pollen</t>
  </si>
  <si>
    <t>Low Pollen Count: [1-30 pollen grains/m³]</t>
  </si>
  <si>
    <t>Moderate Pollen Count: [31-49 pollen grains/m³]</t>
  </si>
  <si>
    <t>High Pollen Count: [50-149 pollen grains/m³]</t>
  </si>
  <si>
    <t>Very High Pollen Count: [150+ pollen grains/m³]</t>
  </si>
  <si>
    <t>Sandstorms</t>
  </si>
  <si>
    <t>No Sandstorm: Visibility &gt; 10,000 meters</t>
  </si>
  <si>
    <t>Light Sandstorm: Visibility 5,000 - 10,000 meters</t>
  </si>
  <si>
    <t>Moderate Sandstorm: Visibility 1,000 - 5,000 meters</t>
  </si>
  <si>
    <t>Heavy Sandstorm: Visibility 200 - 1,000 meters</t>
  </si>
  <si>
    <t>Severe Sandstorm: Visibility &lt; 200 meters</t>
  </si>
  <si>
    <t>Cloud Cover Variety</t>
  </si>
  <si>
    <t>Clear or Blue Sky (0/8 oktas)</t>
  </si>
  <si>
    <t>Mostly Clear or Sunny (1/8 to 2/8 oktas)</t>
  </si>
  <si>
    <t>Partly Cloudy or Fair (3/8 to 4/8 oktas)</t>
  </si>
  <si>
    <t>Mostly Cloudy or Cloudy (5/8 to 7/8 oktas)</t>
  </si>
  <si>
    <t>Overcast (8/8 oktas)</t>
  </si>
  <si>
    <t>Obscured or Foggy</t>
  </si>
  <si>
    <t>Time of the Year Seasons-specific changes</t>
  </si>
  <si>
    <t>Spring</t>
  </si>
  <si>
    <t>Summer</t>
  </si>
  <si>
    <t>Autumn</t>
  </si>
  <si>
    <t>Winter</t>
  </si>
  <si>
    <t>Landscape Types Variety Definition</t>
  </si>
  <si>
    <t>Urban landscapes</t>
  </si>
  <si>
    <t>Suburban landscapes</t>
  </si>
  <si>
    <t>Rural landscapes</t>
  </si>
  <si>
    <t>Mountainous landscapes</t>
  </si>
  <si>
    <t>Forest landscapes</t>
  </si>
  <si>
    <t>Desert landscapes</t>
  </si>
  <si>
    <t>Coastal landscapes</t>
  </si>
  <si>
    <t>Water landscapes</t>
  </si>
  <si>
    <t>Industrial landscapes</t>
  </si>
  <si>
    <t>Arctic landscapes</t>
  </si>
  <si>
    <t>Illumination Variety Definition</t>
  </si>
  <si>
    <t>Time of the day</t>
  </si>
  <si>
    <t>Early Morning (Dawn)</t>
  </si>
  <si>
    <t>Morning</t>
  </si>
  <si>
    <t>Mid-Morning</t>
  </si>
  <si>
    <t>Midday (Noon)</t>
  </si>
  <si>
    <t>Afternoon</t>
  </si>
  <si>
    <t>Evening (Golden Hour)</t>
  </si>
  <si>
    <t>Evening (Dusk)</t>
  </si>
  <si>
    <t>Night</t>
  </si>
  <si>
    <t>Natural Light Conditions Variety</t>
  </si>
  <si>
    <t>Day (sun: overhead, back-lighting, front-lighting): Sunlight 107.527 luminous flux</t>
  </si>
  <si>
    <t>Day (sun: overhead, back-lighting, front-lighting): Full daylight 10.752 luminous flux</t>
  </si>
  <si>
    <t>Day (sun: overhead, back-lighting, front-lighting): Overcast day 1.075 luminous flux</t>
  </si>
  <si>
    <t>Day (sun: overhead, back-lighting, front-lighting): Very dark day 107 luminous flux</t>
  </si>
  <si>
    <t>Day (sun: overhead, back-lighting, front-lighting): Twilight 10.8 luminous flux</t>
  </si>
  <si>
    <t>Night (Moon: overhead, back-lighting, front-lighting): Deep twilight 1.08 luminous flux</t>
  </si>
  <si>
    <t>Night (Moon: overhead, back-lighting, front-lighting): Full moon 0.108 luminous flux</t>
  </si>
  <si>
    <t>Night (Moon: overhead, back-lighting, front-lighting): Quarter moon 0.0108 luminous flux</t>
  </si>
  <si>
    <t>Night (Moon: overhead, back-lighting, front-lighting): Starlight 0.0011 luminous flux</t>
  </si>
  <si>
    <t>Night (Moon: overhead, back-lighting, front-lighting): Overcast night 0.0001 luminous flux</t>
  </si>
  <si>
    <t>Hazy Sunshine</t>
  </si>
  <si>
    <t>Variable Clouds / Variable Sunshine, Intermittent Sun / Sun Breaks</t>
  </si>
  <si>
    <t>Sun sphere positioning in the sky</t>
  </si>
  <si>
    <t>Sunrise (Low Angle): Altitude Angle [0° to 6°], Azimuth Angle [90°±10°]</t>
  </si>
  <si>
    <t>Mid-Morning (Medium Angle): Altitude Angle [20° to 65°], Azimuth Angle [90° &lt; Azimuth &lt; 180°]</t>
  </si>
  <si>
    <t>Noon (High Angle): Altitude Angle [90°], Azimuth Angle [180°]</t>
  </si>
  <si>
    <t>Mid-Afternoon (Medium Angle): Altitude Angle [20° to 65°], Azimuth Angle [180° &lt; Azimuth &lt; 270°]</t>
  </si>
  <si>
    <t>Sunset (Low Angle): Altitude Angle [0° to 6°], Azimuth Angle [270°±10°]</t>
  </si>
  <si>
    <t>Seasonal Azimuth Angle Variations for the Sun</t>
  </si>
  <si>
    <t>Moon Phases</t>
  </si>
  <si>
    <t>New Moon: Moon is between Earth and Sun</t>
  </si>
  <si>
    <t>Waxing Crescent: Small part of Moon is visible</t>
  </si>
  <si>
    <t>First Quarter: Half of the Moon is visible</t>
  </si>
  <si>
    <t>Waxing Gibbous: More than half of the Moon visible</t>
  </si>
  <si>
    <t>Full Moon: Entire Moon is visible</t>
  </si>
  <si>
    <t>Waning Gibbous: More than half of the Moon visible</t>
  </si>
  <si>
    <t>Last Quarter: Half of the Moon is visible</t>
  </si>
  <si>
    <t>Waning Crescent: Small part of Moon is visible</t>
  </si>
  <si>
    <t>Moon Sphere Positioning in the Sky</t>
  </si>
  <si>
    <t>Moonrise (Low Angle): Altitude Angle [0° to 6°], Azimuth Angle [90°±10°]</t>
  </si>
  <si>
    <t>Early-night (Medium Angle): Altitude Angle [20° to 65°], Azimuth Angle [90° &lt; Azimuth &lt; 180°]</t>
  </si>
  <si>
    <t>Zenith (High Angle): Altitude Angle [90°], Azimuth Angle [180°]</t>
  </si>
  <si>
    <t>Late-night (Medium Angle): Altitude Angle [20° to 65°], Azimuth Angle [180° &lt; Azimuth &lt; 270°]</t>
  </si>
  <si>
    <t>Moonset (Low Angle): Altitude Angle [0° to 6°], Azimuth Angle [270°±10°]</t>
  </si>
  <si>
    <t>Geographical region-specific natural phenomena</t>
  </si>
  <si>
    <t>Atmospheric Phenomena</t>
  </si>
  <si>
    <t>Northern and Southern Lights (Aurora Borealis and Aurora Australis)</t>
  </si>
  <si>
    <t>Monsoons</t>
  </si>
  <si>
    <t>Tornadoes</t>
  </si>
  <si>
    <t>Hurricanes, Typhoons, and Cyclones</t>
  </si>
  <si>
    <t>Haboobs (Intense Dust Storms)</t>
  </si>
  <si>
    <t>Hydrological Phenomena</t>
  </si>
  <si>
    <t>Floods</t>
  </si>
  <si>
    <t>Tsunamis</t>
  </si>
  <si>
    <t>Geological Phenomena</t>
  </si>
  <si>
    <t>Earthquakes</t>
  </si>
  <si>
    <t>Volcanic Eruptions</t>
  </si>
  <si>
    <t>Geysers and Hot Springs</t>
  </si>
  <si>
    <t>Biological Phenomena</t>
  </si>
  <si>
    <t>Migration</t>
  </si>
  <si>
    <t>Bioluminescence</t>
  </si>
  <si>
    <t>Algal Blooms</t>
  </si>
  <si>
    <t>Cryospheric Phenomena</t>
  </si>
  <si>
    <t>Icebergs and Ice Calving</t>
  </si>
  <si>
    <t>Avalanches</t>
  </si>
  <si>
    <t>Celestial Phenomena</t>
  </si>
  <si>
    <t>Solar and Lunar Eclipses</t>
  </si>
  <si>
    <t>Meteor Showers</t>
  </si>
  <si>
    <t>Seasonal Phenomena</t>
  </si>
  <si>
    <t>Cherry Blossoms</t>
  </si>
  <si>
    <t>Fall Foliage</t>
  </si>
  <si>
    <t>Extreme Weather Phenomena</t>
  </si>
  <si>
    <t>Heatwaves</t>
  </si>
  <si>
    <t>Polar Vortex</t>
  </si>
  <si>
    <t>Oceanic Phenomena</t>
  </si>
  <si>
    <t>El Niño and La Niña</t>
  </si>
  <si>
    <t>Whirlpools and Maelstroms</t>
  </si>
  <si>
    <t>Fire Phenomena</t>
  </si>
  <si>
    <t>Wildfires</t>
  </si>
  <si>
    <t>Fire Whirls</t>
  </si>
  <si>
    <t>Perceived Visible Horizon Attitude</t>
  </si>
  <si>
    <t>Captured Image Rotational Movements</t>
  </si>
  <si>
    <t>Frame Roll (Camera Rotation around the front-to-back axis)</t>
  </si>
  <si>
    <t>Frame pitch (Camera Rotation around the side-to-side axis)</t>
  </si>
  <si>
    <t>Captured Horizon Attitude</t>
  </si>
  <si>
    <t>Level Horizon</t>
  </si>
  <si>
    <t>Tilted Horizon</t>
  </si>
  <si>
    <t>Elevated Horizon</t>
  </si>
  <si>
    <t>Lowered Horizon</t>
  </si>
  <si>
    <t>Bird's Eye View</t>
  </si>
  <si>
    <t>High Angle</t>
  </si>
  <si>
    <t>Randomised Attitude</t>
  </si>
  <si>
    <t>Natural Noise and Interference</t>
  </si>
  <si>
    <t>Natural Auditory Noise Factors</t>
  </si>
  <si>
    <t>Wind Noise</t>
  </si>
  <si>
    <t>Animal Sounds</t>
  </si>
  <si>
    <t>Vegetation Movement</t>
  </si>
  <si>
    <t>Thunderstorms</t>
  </si>
  <si>
    <t>Atmospheric Noise</t>
  </si>
  <si>
    <t>Natural Interference Factors</t>
  </si>
  <si>
    <t>Electromagnetic Interference (EMI) from Natural Sources</t>
  </si>
  <si>
    <t>Terrain-induced Interference</t>
  </si>
  <si>
    <t>Water Bodies Reflection of Signals</t>
  </si>
  <si>
    <t>Manmade Surroundings Definition (Land (Road and Railways) and Air domains)</t>
  </si>
  <si>
    <t>Road Transportation Engineered Surrounding</t>
  </si>
  <si>
    <t>Road Transport Physical Infrastructure</t>
  </si>
  <si>
    <t>Road Surface Conditions</t>
  </si>
  <si>
    <t>Roadway edges</t>
  </si>
  <si>
    <t>Roadway Geometry</t>
  </si>
  <si>
    <t>Roadway Surfaces</t>
  </si>
  <si>
    <t>Roadway Types</t>
  </si>
  <si>
    <t>Road Transport Connectivity</t>
  </si>
  <si>
    <t>Communication obstructions</t>
  </si>
  <si>
    <t>Crowdsourced data</t>
  </si>
  <si>
    <t>Infrastructure sensors and communication</t>
  </si>
  <si>
    <t>Remote fleet management system</t>
  </si>
  <si>
    <t>Traffic density info</t>
  </si>
  <si>
    <t>V2I</t>
  </si>
  <si>
    <t>Vehicles</t>
  </si>
  <si>
    <t>Road Transport objects of interest</t>
  </si>
  <si>
    <t>Non-roadway influential obstacles/objects</t>
  </si>
  <si>
    <t>Roadway users</t>
  </si>
  <si>
    <t>Signage</t>
  </si>
  <si>
    <t>Traffic control devices</t>
  </si>
  <si>
    <t>Road Transport Operational constraints</t>
  </si>
  <si>
    <t>Speed limit</t>
  </si>
  <si>
    <t>Traffic conditions</t>
  </si>
  <si>
    <t>Railways Transportation Engineered Surrounding</t>
  </si>
  <si>
    <t>Railways Transport Physical Infrastructure</t>
  </si>
  <si>
    <t>Rail Tracks Surface Conditions</t>
  </si>
  <si>
    <t>Rail Tracks edges</t>
  </si>
  <si>
    <t>Rail Tracks Geometry</t>
  </si>
  <si>
    <t>Rail Tracks Surfaces</t>
  </si>
  <si>
    <t>Rail Tracks Types</t>
  </si>
  <si>
    <t>Rail Tracks equipment</t>
  </si>
  <si>
    <t>Level crossing</t>
  </si>
  <si>
    <t>Railways stations</t>
  </si>
  <si>
    <t>Railways Transport Connectivity</t>
  </si>
  <si>
    <t>Train to Wayside</t>
  </si>
  <si>
    <t>Train to Train</t>
  </si>
  <si>
    <t>Railways Transport objects of interest</t>
  </si>
  <si>
    <t>Non-train-related influential obstacles/objects</t>
  </si>
  <si>
    <t>Train users</t>
  </si>
  <si>
    <t>Train Traffic control devices</t>
  </si>
  <si>
    <t>Rail Tracks maintenance objects and people</t>
  </si>
  <si>
    <t>Train types</t>
  </si>
  <si>
    <t>Rail Tracks Zones</t>
  </si>
  <si>
    <t>Railways Transport Operational constraints</t>
  </si>
  <si>
    <t>Train Traffic conditions</t>
  </si>
  <si>
    <t>Operational Times</t>
  </si>
  <si>
    <t>Emergency Protocols</t>
  </si>
  <si>
    <t>Infrastructure Availability</t>
  </si>
  <si>
    <t>Safety Regulations</t>
  </si>
  <si>
    <t>Air Transportation Engineered Surrounding</t>
  </si>
  <si>
    <t>Air Transportation Physical Infrastructure</t>
  </si>
  <si>
    <t>Airports and Airfields</t>
  </si>
  <si>
    <t>Airspace Infrastructure</t>
  </si>
  <si>
    <t>Air Navigation Facilities</t>
  </si>
  <si>
    <t>Communication Infrastructure</t>
  </si>
  <si>
    <t>Lighting Systems</t>
  </si>
  <si>
    <t>UAV Charging Stations</t>
  </si>
  <si>
    <t>Air Transportation Connectivity</t>
  </si>
  <si>
    <t>Communication Obstructions</t>
  </si>
  <si>
    <t>Inadequate Crowdsourced Data for training ML components</t>
  </si>
  <si>
    <t>Infrastructure Sensors and Communication</t>
  </si>
  <si>
    <t>Remote Fleet Management System</t>
  </si>
  <si>
    <t>Traffic Density Information</t>
  </si>
  <si>
    <t>Airborne Vehicle-to-Infrastructure (V2I) Communication</t>
  </si>
  <si>
    <t>Airborne Vehicle-to-Airborne Vehicle (AV2AV) Communication</t>
  </si>
  <si>
    <t>Air Transportation Objects of Interest</t>
  </si>
  <si>
    <t>Non-Aircraft related Obstacles/Objects</t>
  </si>
  <si>
    <t>Aircraft types</t>
  </si>
  <si>
    <t>Signage and Signals</t>
  </si>
  <si>
    <t>Maintenance Systems</t>
  </si>
  <si>
    <t>Air Transportation Operational Constraints</t>
  </si>
  <si>
    <t>Speed Limits</t>
  </si>
  <si>
    <t>Traffic Conditions</t>
  </si>
  <si>
    <t>CAA and Safety Regulations</t>
  </si>
  <si>
    <t>Environmental Regulations</t>
  </si>
  <si>
    <t>Allowable Altitude</t>
  </si>
  <si>
    <t>Mission Specific Constraints</t>
  </si>
  <si>
    <t>Flight Autonomy Modes</t>
  </si>
  <si>
    <t>Duration and Range</t>
  </si>
  <si>
    <t>Manmade Surroundings Noise and Interference</t>
  </si>
  <si>
    <t>Land-based Noise and Interference Factors</t>
  </si>
  <si>
    <t>Acoustic Noise</t>
  </si>
  <si>
    <t>Traffic noise</t>
  </si>
  <si>
    <t>Industrial noise</t>
  </si>
  <si>
    <t>Construction noise</t>
  </si>
  <si>
    <t>Urban noise (e.g., crowds, music)</t>
  </si>
  <si>
    <t>Vibrational Interference</t>
  </si>
  <si>
    <t>Road vibrations</t>
  </si>
  <si>
    <t>Construction vibrations</t>
  </si>
  <si>
    <t>Railway vibrations</t>
  </si>
  <si>
    <t>Electromagnetic Interference (EMI)</t>
  </si>
  <si>
    <t>Power lines</t>
  </si>
  <si>
    <t>Communication towers</t>
  </si>
  <si>
    <t>Radio frequency interference (RFI)</t>
  </si>
  <si>
    <t>Inductive noise</t>
  </si>
  <si>
    <t>Light Pollution</t>
  </si>
  <si>
    <t>Streetlights</t>
  </si>
  <si>
    <t>Vehicle headlights</t>
  </si>
  <si>
    <t>Urban lighting</t>
  </si>
  <si>
    <t>Air-based Noise and Interference Factors</t>
  </si>
  <si>
    <t>Aircraft engine noise</t>
  </si>
  <si>
    <t>Urban air traffic noise</t>
  </si>
  <si>
    <t>Airport noise</t>
  </si>
  <si>
    <t>Helicopter noise</t>
  </si>
  <si>
    <t>Air turbulence</t>
  </si>
  <si>
    <t>Engine vibrations</t>
  </si>
  <si>
    <t>Mechanical vibrations</t>
  </si>
  <si>
    <t>Radar systems</t>
  </si>
  <si>
    <t>Satellite communications</t>
  </si>
  <si>
    <t>Atmospheric RFI</t>
  </si>
  <si>
    <t>High-voltage power lines</t>
  </si>
  <si>
    <t>City lights</t>
  </si>
  <si>
    <t>Aviation lighting systems</t>
  </si>
  <si>
    <t>Reflective surfaces</t>
  </si>
  <si>
    <t xml:space="preserve">Seq. ID </t>
  </si>
  <si>
    <t>YES: the cause directly and predictably produces the effect through known physical, mechanical, or human-factor logic (e.g., train vibration loosens bolts)</t>
  </si>
  <si>
    <t>NO: the scenario depends on perceptual ambiguity, intelligent exploitation of the environment, adversarial behaviour, or paradoxical causality that a standard checklist would not generate (e.g., foliage texture conceals a drone from a visual detector)</t>
  </si>
  <si>
    <t xml:space="preserve">YES : at least one prior mention found in the reference corpus	</t>
  </si>
  <si>
    <t>NO: no mention found in the reference corpus</t>
  </si>
  <si>
    <t>Could a competent domain engineer have predicted this scenario from a standard checklist, known failure mode library, or physical law — without needing to consider perception, adversarial intent, or environmental paradox?  Typicality measures whether a scenario's cause-and-effect mechanism is knowable, bounded, and predictable from standard engineering or domain knowledge, or whether it depends on perceptual complexity, intelligent environmental exploitation, or non-linear causality that resists standard prediction.</t>
  </si>
  <si>
    <t xml:space="preserve">Does the chosen reference corpus contain at least one explicit mention of this situation, hazard, or scenario?Definition: Originality measures whether the predicted situation has prior representation in a chosen reference corpus of safety analyses, failure mode libraries, or domain literature relevant to the problem space.  Note: The reference corpus is selected by the project team and may include prior HAZOP, STAMP, or FRAM analyses of the same problem domain, published failure mode databases, or domain-specific safety standards. </t>
  </si>
  <si>
    <t>Is the scenario Original AND Atypical? Definition: Novelty is the combined property of a scenario that is simultaneously absent from prior literature and not predictable through standard domain reasoning. A novel scenario is one that the analyst could not have reliably reached through conventional analysis alone. A scenario is Novel if and only if it is absent from prior literature and its causal mechanism cannot be derived from standard engineering knowledge, physical laws, or known failure modes — meaning a conventionally trained analyst working from a standard checklist would not have predicted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</si>
</sst>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1"/>
      <name val="Segoe UI"/>
      <family val="2"/>
    </font>
    <font>
      <b/>
      <sz val="11"/>
      <color theme="1"/>
      <name val="Segoe UI"/>
      <family val="2"/>
    </font>
    <font>
      <sz val="11"/>
      <color rgb="FF000000"/>
      <name val="Aptos Narrow"/>
      <family val="2"/>
    </font>
    <font>
      <sz val="11"/>
      <name val="Aptos Narrow"/>
      <family val="2"/>
      <scheme val="minor"/>
    </font>
    <font>
      <sz val="9"/>
      <color rgb="FF000000"/>
      <name val="Aptos Narrow"/>
      <family val="2"/>
    </font>
    <font>
      <sz val="9"/>
      <color theme="1"/>
      <name val="Aptos Narrow"/>
      <family val="2"/>
    </font>
    <font>
      <sz val="8"/>
      <name val="Aptos Narrow"/>
      <family val="2"/>
      <scheme val="minor"/>
    </font>
    <font>
      <b/>
      <sz val="11"/>
      <color rgb="FF000000"/>
      <name val="Aptos"/>
      <family val="2"/>
    </font>
    <font>
      <b/>
      <i/>
      <sz val="11"/>
      <color rgb="FF000000"/>
      <name val="Aptos"/>
      <family val="2"/>
    </font>
    <font>
      <sz val="11"/>
      <color rgb="FF000000"/>
      <name val="Aptos"/>
      <family val="2"/>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s>
  <cellStyleXfs count="1">
    <xf numFmtId="0" fontId="0" fillId="0" borderId="0"/>
  </cellStyleXfs>
  <cellXfs count="61">
    <xf numFmtId="0" fontId="0" fillId="0" borderId="0" xfId="0"/>
    <xf numFmtId="0" fontId="0" fillId="0" borderId="1" xfId="0" applyBorder="1"/>
    <xf numFmtId="0" fontId="5" fillId="0" borderId="0" xfId="0" applyFont="1" applyAlignment="1">
      <alignment vertical="center"/>
    </xf>
    <xf numFmtId="0" fontId="5" fillId="0" borderId="1" xfId="0" applyFont="1" applyBorder="1" applyAlignment="1">
      <alignment vertical="center"/>
    </xf>
    <xf numFmtId="0" fontId="4" fillId="0" borderId="1" xfId="0" applyFont="1" applyBorder="1" applyAlignment="1">
      <alignment vertical="center"/>
    </xf>
    <xf numFmtId="0" fontId="3" fillId="2" borderId="1" xfId="0" applyFont="1" applyFill="1" applyBorder="1"/>
    <xf numFmtId="0" fontId="0" fillId="0" borderId="1" xfId="0" applyBorder="1" applyAlignment="1">
      <alignment wrapText="1"/>
    </xf>
    <xf numFmtId="0" fontId="0" fillId="0" borderId="0" xfId="0" applyAlignment="1">
      <alignment wrapText="1"/>
    </xf>
    <xf numFmtId="0" fontId="3" fillId="0" borderId="1" xfId="0" applyFont="1" applyBorder="1" applyAlignment="1">
      <alignment wrapText="1"/>
    </xf>
    <xf numFmtId="0" fontId="1" fillId="3" borderId="1" xfId="0" applyFont="1" applyFill="1" applyBorder="1"/>
    <xf numFmtId="0" fontId="0" fillId="0" borderId="2" xfId="0" applyBorder="1"/>
    <xf numFmtId="0" fontId="4" fillId="0" borderId="3" xfId="0" applyFont="1" applyBorder="1" applyAlignment="1">
      <alignment vertical="center"/>
    </xf>
    <xf numFmtId="0" fontId="2" fillId="0" borderId="1" xfId="0" applyFont="1" applyBorder="1"/>
    <xf numFmtId="0" fontId="7" fillId="0" borderId="1" xfId="0" applyFont="1" applyBorder="1"/>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2" fontId="0" fillId="0" borderId="1" xfId="0" applyNumberFormat="1" applyBorder="1"/>
    <xf numFmtId="0" fontId="6" fillId="0" borderId="5" xfId="0" applyFont="1" applyBorder="1" applyAlignment="1">
      <alignment horizontal="left" vertical="center"/>
    </xf>
    <xf numFmtId="0" fontId="0" fillId="0" borderId="1" xfId="0" applyBorder="1" applyAlignment="1">
      <alignment vertical="center"/>
    </xf>
    <xf numFmtId="0" fontId="6" fillId="0" borderId="6" xfId="0" applyFont="1" applyBorder="1" applyAlignment="1">
      <alignment horizontal="left" vertical="center"/>
    </xf>
    <xf numFmtId="0" fontId="6" fillId="0" borderId="4" xfId="0" applyFont="1" applyBorder="1" applyAlignment="1">
      <alignment horizontal="left" vertical="center"/>
    </xf>
    <xf numFmtId="0" fontId="13" fillId="2" borderId="7" xfId="0" applyFont="1" applyFill="1" applyBorder="1" applyAlignment="1">
      <alignment horizontal="center" vertical="center" wrapText="1"/>
    </xf>
    <xf numFmtId="0" fontId="13" fillId="0" borderId="5" xfId="0" applyFont="1" applyBorder="1" applyAlignment="1">
      <alignment horizontal="justify" vertical="center" wrapText="1"/>
    </xf>
    <xf numFmtId="0" fontId="11"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13" fillId="0" borderId="5" xfId="0" applyFont="1" applyBorder="1" applyAlignment="1">
      <alignment horizontal="justify" vertical="center"/>
    </xf>
    <xf numFmtId="0" fontId="12" fillId="0" borderId="5" xfId="0" applyFont="1" applyBorder="1" applyAlignment="1">
      <alignment horizontal="justify" vertical="center"/>
    </xf>
    <xf numFmtId="0" fontId="6" fillId="0" borderId="8" xfId="0" applyFont="1" applyBorder="1" applyAlignment="1">
      <alignment horizontal="left" vertical="center"/>
    </xf>
    <xf numFmtId="0" fontId="0" fillId="0" borderId="12" xfId="0" applyBorder="1"/>
    <xf numFmtId="0" fontId="0" fillId="0" borderId="3" xfId="0" applyBorder="1"/>
    <xf numFmtId="0" fontId="6" fillId="0" borderId="0" xfId="0" applyFont="1" applyAlignment="1">
      <alignment horizontal="left" vertical="center"/>
    </xf>
    <xf numFmtId="0" fontId="6" fillId="0" borderId="1" xfId="0" applyFont="1" applyBorder="1" applyAlignment="1">
      <alignment horizontal="left" vertical="center"/>
    </xf>
    <xf numFmtId="0" fontId="0" fillId="0" borderId="12" xfId="0" applyBorder="1" applyAlignment="1">
      <alignment horizontal="left"/>
    </xf>
    <xf numFmtId="0" fontId="0" fillId="0" borderId="1" xfId="0" applyBorder="1" applyAlignment="1">
      <alignment horizontal="left"/>
    </xf>
    <xf numFmtId="0" fontId="4" fillId="0" borderId="2" xfId="0" applyFont="1" applyBorder="1" applyAlignment="1">
      <alignment vertical="center"/>
    </xf>
    <xf numFmtId="0" fontId="5" fillId="0" borderId="12" xfId="0" applyFont="1" applyBorder="1" applyAlignment="1">
      <alignment vertical="center"/>
    </xf>
    <xf numFmtId="0" fontId="0" fillId="0" borderId="15" xfId="0" applyBorder="1"/>
    <xf numFmtId="0" fontId="0" fillId="0" borderId="14" xfId="0" applyBorder="1"/>
    <xf numFmtId="0" fontId="3" fillId="0" borderId="1" xfId="0" applyFont="1" applyBorder="1" applyAlignment="1">
      <alignment horizontal="center" wrapText="1"/>
    </xf>
    <xf numFmtId="0" fontId="0" fillId="0" borderId="12" xfId="0" applyBorder="1" applyAlignment="1">
      <alignment horizontal="left"/>
    </xf>
    <xf numFmtId="0" fontId="0" fillId="0" borderId="13" xfId="0" applyBorder="1" applyAlignment="1">
      <alignment horizontal="left"/>
    </xf>
    <xf numFmtId="0" fontId="0" fillId="0" borderId="3" xfId="0" applyBorder="1" applyAlignment="1">
      <alignment horizontal="left"/>
    </xf>
    <xf numFmtId="0" fontId="4" fillId="0" borderId="1" xfId="0" applyFont="1" applyBorder="1" applyAlignment="1">
      <alignment horizontal="left" vertical="center"/>
    </xf>
    <xf numFmtId="0" fontId="4" fillId="0" borderId="12" xfId="0" applyFont="1" applyBorder="1" applyAlignment="1">
      <alignment horizontal="left" vertical="center"/>
    </xf>
    <xf numFmtId="0" fontId="0" fillId="0" borderId="1" xfId="0" applyBorder="1" applyAlignment="1">
      <alignment horizontal="left"/>
    </xf>
    <xf numFmtId="0" fontId="3" fillId="0" borderId="12" xfId="0" applyFont="1" applyBorder="1" applyAlignment="1">
      <alignment horizontal="center" wrapText="1"/>
    </xf>
    <xf numFmtId="0" fontId="3" fillId="0" borderId="3" xfId="0" applyFont="1" applyBorder="1" applyAlignment="1">
      <alignment horizontal="center" wrapText="1"/>
    </xf>
    <xf numFmtId="0" fontId="13" fillId="0" borderId="11" xfId="0" applyFont="1" applyBorder="1" applyAlignment="1">
      <alignment horizontal="justify" vertical="center"/>
    </xf>
    <xf numFmtId="0" fontId="13" fillId="0" borderId="8" xfId="0" applyFont="1" applyBorder="1" applyAlignment="1">
      <alignment horizontal="justify" vertical="center"/>
    </xf>
    <xf numFmtId="0" fontId="13" fillId="0" borderId="4" xfId="0" applyFont="1" applyBorder="1" applyAlignment="1">
      <alignment horizontal="justify" vertical="center"/>
    </xf>
    <xf numFmtId="0" fontId="12" fillId="0" borderId="11" xfId="0" applyFont="1" applyBorder="1" applyAlignment="1">
      <alignment horizontal="justify" vertical="center"/>
    </xf>
    <xf numFmtId="0" fontId="12" fillId="0" borderId="8" xfId="0" applyFont="1" applyBorder="1" applyAlignment="1">
      <alignment horizontal="justify" vertical="center"/>
    </xf>
    <xf numFmtId="0" fontId="12" fillId="0" borderId="4" xfId="0" applyFont="1" applyBorder="1" applyAlignment="1">
      <alignment horizontal="justify" vertical="center"/>
    </xf>
    <xf numFmtId="0" fontId="13" fillId="2" borderId="9"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7"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7" xfId="0" applyFont="1" applyFill="1" applyBorder="1" applyAlignment="1">
      <alignment horizontal="center" vertical="center"/>
    </xf>
  </cellXfs>
  <cellStyles count="1">
    <cellStyle name="Normal" xfId="0" builtinId="0"/>
  </cellStyles>
  <dxfs count="71">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fgColor theme="0"/>
          <bgColor theme="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fgColor theme="0"/>
          <bgColor theme="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1391479</xdr:colOff>
      <xdr:row>37</xdr:row>
      <xdr:rowOff>73861</xdr:rowOff>
    </xdr:from>
    <xdr:to>
      <xdr:col>4</xdr:col>
      <xdr:colOff>2666999</xdr:colOff>
      <xdr:row>53</xdr:row>
      <xdr:rowOff>115955</xdr:rowOff>
    </xdr:to>
    <xdr:pic>
      <xdr:nvPicPr>
        <xdr:cNvPr id="2" name="Picture 1">
          <a:extLst>
            <a:ext uri="{FF2B5EF4-FFF2-40B4-BE49-F238E27FC236}">
              <a16:creationId xmlns:a16="http://schemas.microsoft.com/office/drawing/2014/main" id="{A81929F6-5AF8-18EE-6A23-0E7991D350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5109" y="7569622"/>
          <a:ext cx="4828760" cy="3090094"/>
        </a:xfrm>
        <a:prstGeom prst="rect">
          <a:avLst/>
        </a:prstGeom>
        <a:noFill/>
        <a:ln>
          <a:noFill/>
        </a:ln>
      </xdr:spPr>
    </xdr:pic>
    <xdr:clientData/>
  </xdr:twoCellAnchor>
  <xdr:twoCellAnchor editAs="oneCell">
    <xdr:from>
      <xdr:col>5</xdr:col>
      <xdr:colOff>8284</xdr:colOff>
      <xdr:row>37</xdr:row>
      <xdr:rowOff>124238</xdr:rowOff>
    </xdr:from>
    <xdr:to>
      <xdr:col>8</xdr:col>
      <xdr:colOff>25134</xdr:colOff>
      <xdr:row>53</xdr:row>
      <xdr:rowOff>182217</xdr:rowOff>
    </xdr:to>
    <xdr:pic>
      <xdr:nvPicPr>
        <xdr:cNvPr id="4" name="Picture 3">
          <a:extLst>
            <a:ext uri="{FF2B5EF4-FFF2-40B4-BE49-F238E27FC236}">
              <a16:creationId xmlns:a16="http://schemas.microsoft.com/office/drawing/2014/main" id="{6A708899-22AD-B3B0-4020-2C596A2286C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456" t="7306"/>
        <a:stretch>
          <a:fillRect/>
        </a:stretch>
      </xdr:blipFill>
      <xdr:spPr bwMode="auto">
        <a:xfrm>
          <a:off x="10378110" y="7619999"/>
          <a:ext cx="5516502" cy="3105979"/>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352425</xdr:colOff>
      <xdr:row>7</xdr:row>
      <xdr:rowOff>19050</xdr:rowOff>
    </xdr:from>
    <xdr:to>
      <xdr:col>18</xdr:col>
      <xdr:colOff>411368</xdr:colOff>
      <xdr:row>24</xdr:row>
      <xdr:rowOff>85725</xdr:rowOff>
    </xdr:to>
    <xdr:pic>
      <xdr:nvPicPr>
        <xdr:cNvPr id="2" name="Picture 1">
          <a:extLst>
            <a:ext uri="{FF2B5EF4-FFF2-40B4-BE49-F238E27FC236}">
              <a16:creationId xmlns:a16="http://schemas.microsoft.com/office/drawing/2014/main" id="{885150C7-B95D-0F6A-3719-46D6EB41A4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3450" y="1552575"/>
          <a:ext cx="6307343" cy="391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1104900</xdr:colOff>
      <xdr:row>0</xdr:row>
      <xdr:rowOff>0</xdr:rowOff>
    </xdr:from>
    <xdr:to>
      <xdr:col>20</xdr:col>
      <xdr:colOff>180975</xdr:colOff>
      <xdr:row>21</xdr:row>
      <xdr:rowOff>38100</xdr:rowOff>
    </xdr:to>
    <xdr:pic>
      <xdr:nvPicPr>
        <xdr:cNvPr id="4" name="Picture 3">
          <a:extLst>
            <a:ext uri="{FF2B5EF4-FFF2-40B4-BE49-F238E27FC236}">
              <a16:creationId xmlns:a16="http://schemas.microsoft.com/office/drawing/2014/main" id="{C5E77F02-1D0F-C7DA-BC5A-18D1720570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839950" y="0"/>
          <a:ext cx="6486525" cy="432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E7277-42BC-44FE-B5A2-442E51D71BCE}">
  <dimension ref="A1:J108"/>
  <sheetViews>
    <sheetView zoomScale="115" zoomScaleNormal="115" workbookViewId="0">
      <selection activeCell="B5" sqref="B5"/>
    </sheetView>
  </sheetViews>
  <sheetFormatPr defaultRowHeight="15" x14ac:dyDescent="0.25"/>
  <cols>
    <col min="1" max="1" width="40.28515625" bestFit="1" customWidth="1"/>
    <col min="2" max="2" width="20.28515625" customWidth="1"/>
    <col min="3" max="3" width="24.28515625" customWidth="1"/>
    <col min="4" max="4" width="29" customWidth="1"/>
    <col min="5" max="6" width="41.7109375" customWidth="1"/>
    <col min="7" max="7" width="31.5703125" customWidth="1"/>
    <col min="10" max="10" width="32.42578125" bestFit="1" customWidth="1"/>
  </cols>
  <sheetData>
    <row r="1" spans="1:10" ht="17.25" thickBot="1" x14ac:dyDescent="0.3">
      <c r="A1" s="9" t="s">
        <v>36</v>
      </c>
      <c r="B1" s="9" t="s">
        <v>338</v>
      </c>
      <c r="C1" s="3"/>
      <c r="F1" s="5" t="s">
        <v>37</v>
      </c>
    </row>
    <row r="2" spans="1:10" ht="17.25" thickBot="1" x14ac:dyDescent="0.3">
      <c r="A2" s="1" t="s">
        <v>38</v>
      </c>
      <c r="B2" s="11" t="s">
        <v>41</v>
      </c>
      <c r="C2" s="4" t="s">
        <v>43</v>
      </c>
      <c r="F2" s="21" t="s">
        <v>893</v>
      </c>
    </row>
    <row r="3" spans="1:10" ht="17.25" thickBot="1" x14ac:dyDescent="0.3">
      <c r="A3" s="1" t="s">
        <v>39</v>
      </c>
      <c r="B3" s="11" t="s">
        <v>42</v>
      </c>
      <c r="C3" s="4" t="s">
        <v>44</v>
      </c>
      <c r="F3" s="22" t="s">
        <v>894</v>
      </c>
    </row>
    <row r="4" spans="1:10" ht="17.25" thickBot="1" x14ac:dyDescent="0.3">
      <c r="A4" s="1" t="s">
        <v>345</v>
      </c>
      <c r="B4" s="1" t="s">
        <v>345</v>
      </c>
      <c r="C4" s="4"/>
      <c r="F4" s="22" t="s">
        <v>758</v>
      </c>
    </row>
    <row r="5" spans="1:10" ht="17.25" thickBot="1" x14ac:dyDescent="0.3">
      <c r="A5" s="5" t="s">
        <v>47</v>
      </c>
      <c r="B5" s="4" t="s">
        <v>1340</v>
      </c>
      <c r="C5" s="1"/>
      <c r="F5" s="22" t="s">
        <v>759</v>
      </c>
    </row>
    <row r="6" spans="1:10" ht="17.25" thickBot="1" x14ac:dyDescent="0.3">
      <c r="A6" s="1" t="s">
        <v>339</v>
      </c>
      <c r="B6" s="4" t="s">
        <v>343</v>
      </c>
      <c r="C6" s="1"/>
      <c r="F6" s="22" t="s">
        <v>895</v>
      </c>
    </row>
    <row r="7" spans="1:10" ht="17.25" thickBot="1" x14ac:dyDescent="0.3">
      <c r="A7" s="1" t="s">
        <v>340</v>
      </c>
      <c r="B7" s="4" t="s">
        <v>344</v>
      </c>
      <c r="C7" s="1"/>
      <c r="F7" s="22" t="s">
        <v>752</v>
      </c>
    </row>
    <row r="8" spans="1:10" ht="15.75" thickBot="1" x14ac:dyDescent="0.3">
      <c r="A8" s="5" t="s">
        <v>341</v>
      </c>
      <c r="B8" s="41" t="s">
        <v>1338</v>
      </c>
      <c r="C8" s="42"/>
      <c r="F8" s="22" t="s">
        <v>896</v>
      </c>
    </row>
    <row r="9" spans="1:10" ht="15.75" thickBot="1" x14ac:dyDescent="0.3">
      <c r="A9" s="1" t="s">
        <v>53</v>
      </c>
      <c r="B9" s="1" t="s">
        <v>1334</v>
      </c>
      <c r="C9" s="1"/>
      <c r="F9" s="22" t="s">
        <v>897</v>
      </c>
    </row>
    <row r="10" spans="1:10" ht="15.75" thickBot="1" x14ac:dyDescent="0.3">
      <c r="A10" s="10" t="s">
        <v>166</v>
      </c>
      <c r="B10" s="10" t="s">
        <v>1335</v>
      </c>
      <c r="C10" s="10"/>
      <c r="F10" s="22" t="s">
        <v>898</v>
      </c>
    </row>
    <row r="11" spans="1:10" ht="15.75" thickBot="1" x14ac:dyDescent="0.3">
      <c r="A11" s="5" t="s">
        <v>346</v>
      </c>
      <c r="B11" s="41" t="s">
        <v>1339</v>
      </c>
      <c r="C11" s="43"/>
      <c r="F11" s="22" t="s">
        <v>899</v>
      </c>
    </row>
    <row r="12" spans="1:10" x14ac:dyDescent="0.25">
      <c r="A12" s="1" t="s">
        <v>645</v>
      </c>
      <c r="B12" s="1" t="s">
        <v>1336</v>
      </c>
      <c r="C12" s="1"/>
      <c r="D12" s="32"/>
    </row>
    <row r="13" spans="1:10" x14ac:dyDescent="0.25">
      <c r="A13" s="1" t="s">
        <v>644</v>
      </c>
      <c r="B13" s="1" t="s">
        <v>1337</v>
      </c>
      <c r="C13" s="1"/>
      <c r="D13" s="32"/>
    </row>
    <row r="14" spans="1:10" ht="63.75" customHeight="1" x14ac:dyDescent="0.25">
      <c r="A14" s="8" t="s">
        <v>84</v>
      </c>
      <c r="B14" s="40" t="s">
        <v>698</v>
      </c>
      <c r="C14" s="40"/>
      <c r="D14" s="40"/>
      <c r="E14" s="8" t="s">
        <v>40</v>
      </c>
      <c r="F14" s="8"/>
      <c r="G14" s="1"/>
    </row>
    <row r="15" spans="1:10" x14ac:dyDescent="0.25">
      <c r="A15" s="5" t="s">
        <v>46</v>
      </c>
      <c r="B15" s="5" t="s">
        <v>650</v>
      </c>
      <c r="C15" s="5" t="s">
        <v>652</v>
      </c>
      <c r="D15" s="5" t="s">
        <v>346</v>
      </c>
      <c r="E15" s="5" t="s">
        <v>35</v>
      </c>
      <c r="F15" s="5" t="s">
        <v>37</v>
      </c>
      <c r="G15" s="5" t="s">
        <v>47</v>
      </c>
      <c r="H15" s="5" t="s">
        <v>37</v>
      </c>
      <c r="I15" s="9" t="s">
        <v>36</v>
      </c>
      <c r="J15" s="9" t="s">
        <v>338</v>
      </c>
    </row>
    <row r="16" spans="1:10" x14ac:dyDescent="0.25">
      <c r="A16" s="1" t="s">
        <v>3</v>
      </c>
      <c r="B16" s="1">
        <v>7</v>
      </c>
      <c r="C16" s="18">
        <f>(B16/SUM(B$16:B$108))*100</f>
        <v>14.285714285714285</v>
      </c>
      <c r="D16" s="1" t="s">
        <v>644</v>
      </c>
      <c r="E16" s="1" t="s">
        <v>166</v>
      </c>
      <c r="F16" s="1" t="s">
        <v>752</v>
      </c>
      <c r="G16" s="1" t="s">
        <v>340</v>
      </c>
      <c r="H16" s="1" t="s">
        <v>2</v>
      </c>
      <c r="I16" s="1" t="s">
        <v>345</v>
      </c>
      <c r="J16" s="1" t="s">
        <v>345</v>
      </c>
    </row>
    <row r="17" spans="1:10" x14ac:dyDescent="0.25">
      <c r="A17" s="1" t="s">
        <v>558</v>
      </c>
      <c r="B17" s="1">
        <v>4</v>
      </c>
      <c r="C17" s="18">
        <f t="shared" ref="C17:C36" si="0">(B17/SUM(B$16:B$108))*100</f>
        <v>8.1632653061224492</v>
      </c>
      <c r="D17" s="1" t="s">
        <v>645</v>
      </c>
      <c r="E17" s="1" t="s">
        <v>1</v>
      </c>
      <c r="F17" s="1" t="s">
        <v>755</v>
      </c>
      <c r="G17" s="1" t="s">
        <v>340</v>
      </c>
      <c r="H17" s="1" t="s">
        <v>4</v>
      </c>
      <c r="I17" s="1" t="s">
        <v>345</v>
      </c>
      <c r="J17" s="1" t="s">
        <v>345</v>
      </c>
    </row>
    <row r="18" spans="1:10" x14ac:dyDescent="0.25">
      <c r="A18" s="1" t="s">
        <v>559</v>
      </c>
      <c r="B18" s="1">
        <v>4</v>
      </c>
      <c r="C18" s="18">
        <f t="shared" si="0"/>
        <v>8.1632653061224492</v>
      </c>
      <c r="D18" s="1" t="s">
        <v>644</v>
      </c>
      <c r="E18" s="1" t="s">
        <v>1</v>
      </c>
      <c r="F18" s="1" t="s">
        <v>755</v>
      </c>
      <c r="G18" s="1" t="s">
        <v>340</v>
      </c>
      <c r="H18" s="1" t="s">
        <v>6</v>
      </c>
      <c r="I18" s="1" t="s">
        <v>345</v>
      </c>
      <c r="J18" s="1" t="s">
        <v>345</v>
      </c>
    </row>
    <row r="19" spans="1:10" x14ac:dyDescent="0.25">
      <c r="A19" s="1" t="s">
        <v>16</v>
      </c>
      <c r="B19" s="1">
        <v>4</v>
      </c>
      <c r="C19" s="18">
        <f t="shared" si="0"/>
        <v>8.1632653061224492</v>
      </c>
      <c r="D19" s="1" t="s">
        <v>645</v>
      </c>
      <c r="E19" s="1" t="s">
        <v>1</v>
      </c>
      <c r="F19" s="1" t="s">
        <v>755</v>
      </c>
      <c r="G19" s="1" t="s">
        <v>340</v>
      </c>
      <c r="H19" s="1" t="s">
        <v>7</v>
      </c>
      <c r="I19" s="1" t="s">
        <v>345</v>
      </c>
      <c r="J19" s="1" t="s">
        <v>345</v>
      </c>
    </row>
    <row r="20" spans="1:10" x14ac:dyDescent="0.25">
      <c r="A20" s="1" t="s">
        <v>560</v>
      </c>
      <c r="B20" s="1">
        <v>4</v>
      </c>
      <c r="C20" s="18">
        <f t="shared" si="0"/>
        <v>8.1632653061224492</v>
      </c>
      <c r="D20" s="1" t="s">
        <v>645</v>
      </c>
      <c r="E20" s="1" t="s">
        <v>1</v>
      </c>
      <c r="F20" s="1" t="s">
        <v>755</v>
      </c>
      <c r="G20" s="1" t="s">
        <v>340</v>
      </c>
      <c r="H20" s="1" t="s">
        <v>8</v>
      </c>
      <c r="I20" s="1" t="s">
        <v>345</v>
      </c>
      <c r="J20" s="1" t="s">
        <v>345</v>
      </c>
    </row>
    <row r="21" spans="1:10" x14ac:dyDescent="0.25">
      <c r="A21" s="1" t="s">
        <v>561</v>
      </c>
      <c r="B21" s="1">
        <v>3</v>
      </c>
      <c r="C21" s="18">
        <f t="shared" si="0"/>
        <v>6.1224489795918364</v>
      </c>
      <c r="D21" s="1" t="s">
        <v>644</v>
      </c>
      <c r="E21" s="1" t="s">
        <v>1</v>
      </c>
      <c r="F21" s="1" t="s">
        <v>755</v>
      </c>
      <c r="G21" s="1" t="s">
        <v>340</v>
      </c>
      <c r="H21" s="1" t="s">
        <v>10</v>
      </c>
      <c r="I21" s="1" t="s">
        <v>345</v>
      </c>
      <c r="J21" s="1" t="s">
        <v>345</v>
      </c>
    </row>
    <row r="22" spans="1:10" x14ac:dyDescent="0.25">
      <c r="A22" s="1" t="s">
        <v>562</v>
      </c>
      <c r="B22" s="1">
        <v>3</v>
      </c>
      <c r="C22" s="18">
        <f t="shared" si="0"/>
        <v>6.1224489795918364</v>
      </c>
      <c r="D22" s="1" t="s">
        <v>644</v>
      </c>
      <c r="E22" s="1" t="s">
        <v>1</v>
      </c>
      <c r="F22" s="1" t="s">
        <v>755</v>
      </c>
      <c r="G22" s="1" t="s">
        <v>340</v>
      </c>
      <c r="H22" s="1" t="s">
        <v>12</v>
      </c>
      <c r="I22" s="1" t="s">
        <v>345</v>
      </c>
      <c r="J22" s="1" t="s">
        <v>345</v>
      </c>
    </row>
    <row r="23" spans="1:10" x14ac:dyDescent="0.25">
      <c r="A23" s="1" t="s">
        <v>563</v>
      </c>
      <c r="B23" s="1">
        <v>3</v>
      </c>
      <c r="C23" s="18">
        <f t="shared" si="0"/>
        <v>6.1224489795918364</v>
      </c>
      <c r="D23" s="1" t="s">
        <v>644</v>
      </c>
      <c r="E23" s="1" t="s">
        <v>1</v>
      </c>
      <c r="F23" s="1" t="s">
        <v>755</v>
      </c>
      <c r="G23" s="1" t="s">
        <v>340</v>
      </c>
      <c r="H23" s="1" t="s">
        <v>14</v>
      </c>
      <c r="I23" s="1" t="s">
        <v>345</v>
      </c>
      <c r="J23" s="1" t="s">
        <v>345</v>
      </c>
    </row>
    <row r="24" spans="1:10" x14ac:dyDescent="0.25">
      <c r="A24" s="1" t="s">
        <v>564</v>
      </c>
      <c r="B24" s="1">
        <v>2</v>
      </c>
      <c r="C24" s="18">
        <f t="shared" si="0"/>
        <v>4.0816326530612246</v>
      </c>
      <c r="D24" s="1" t="s">
        <v>644</v>
      </c>
      <c r="E24" s="1" t="s">
        <v>1</v>
      </c>
      <c r="F24" s="1" t="s">
        <v>755</v>
      </c>
      <c r="G24" s="1" t="s">
        <v>340</v>
      </c>
      <c r="H24" s="1" t="s">
        <v>15</v>
      </c>
      <c r="I24" s="1" t="s">
        <v>345</v>
      </c>
      <c r="J24" s="1" t="s">
        <v>345</v>
      </c>
    </row>
    <row r="25" spans="1:10" x14ac:dyDescent="0.25">
      <c r="A25" s="1" t="s">
        <v>565</v>
      </c>
      <c r="B25" s="1">
        <v>2</v>
      </c>
      <c r="C25" s="18">
        <f t="shared" si="0"/>
        <v>4.0816326530612246</v>
      </c>
      <c r="D25" s="1" t="s">
        <v>644</v>
      </c>
      <c r="E25" s="1" t="s">
        <v>1</v>
      </c>
      <c r="F25" s="1" t="s">
        <v>755</v>
      </c>
      <c r="G25" s="1" t="s">
        <v>340</v>
      </c>
      <c r="H25" s="1" t="s">
        <v>17</v>
      </c>
      <c r="I25" s="1" t="s">
        <v>345</v>
      </c>
      <c r="J25" s="1" t="s">
        <v>345</v>
      </c>
    </row>
    <row r="26" spans="1:10" x14ac:dyDescent="0.25">
      <c r="A26" s="1" t="s">
        <v>18</v>
      </c>
      <c r="B26" s="1">
        <v>2</v>
      </c>
      <c r="C26" s="18">
        <f t="shared" si="0"/>
        <v>4.0816326530612246</v>
      </c>
      <c r="D26" s="1" t="s">
        <v>644</v>
      </c>
      <c r="E26" s="1" t="s">
        <v>1</v>
      </c>
      <c r="F26" s="1" t="s">
        <v>755</v>
      </c>
      <c r="G26" s="1" t="s">
        <v>340</v>
      </c>
      <c r="H26" s="1" t="s">
        <v>19</v>
      </c>
      <c r="I26" s="1" t="s">
        <v>345</v>
      </c>
      <c r="J26" s="1" t="s">
        <v>345</v>
      </c>
    </row>
    <row r="27" spans="1:10" x14ac:dyDescent="0.25">
      <c r="A27" s="1" t="s">
        <v>566</v>
      </c>
      <c r="B27" s="1">
        <v>2</v>
      </c>
      <c r="C27" s="18">
        <f t="shared" si="0"/>
        <v>4.0816326530612246</v>
      </c>
      <c r="D27" s="1" t="s">
        <v>644</v>
      </c>
      <c r="E27" s="1" t="s">
        <v>1</v>
      </c>
      <c r="F27" s="1" t="s">
        <v>755</v>
      </c>
      <c r="G27" s="1" t="s">
        <v>340</v>
      </c>
      <c r="H27" s="1" t="s">
        <v>20</v>
      </c>
      <c r="I27" s="1" t="s">
        <v>345</v>
      </c>
      <c r="J27" s="1" t="s">
        <v>345</v>
      </c>
    </row>
    <row r="28" spans="1:10" x14ac:dyDescent="0.25">
      <c r="A28" s="1" t="s">
        <v>567</v>
      </c>
      <c r="B28" s="1">
        <v>1</v>
      </c>
      <c r="C28" s="18">
        <f t="shared" si="0"/>
        <v>2.0408163265306123</v>
      </c>
      <c r="D28" s="1" t="s">
        <v>645</v>
      </c>
      <c r="E28" s="1" t="s">
        <v>1</v>
      </c>
      <c r="F28" s="1" t="s">
        <v>755</v>
      </c>
      <c r="G28" s="1" t="s">
        <v>340</v>
      </c>
      <c r="H28" s="1" t="s">
        <v>21</v>
      </c>
      <c r="I28" s="1" t="s">
        <v>345</v>
      </c>
      <c r="J28" s="1" t="s">
        <v>345</v>
      </c>
    </row>
    <row r="29" spans="1:10" x14ac:dyDescent="0.25">
      <c r="A29" s="1" t="s">
        <v>568</v>
      </c>
      <c r="B29" s="1">
        <v>1</v>
      </c>
      <c r="C29" s="18">
        <f t="shared" si="0"/>
        <v>2.0408163265306123</v>
      </c>
      <c r="D29" s="1" t="s">
        <v>645</v>
      </c>
      <c r="E29" s="1" t="s">
        <v>1</v>
      </c>
      <c r="F29" s="1" t="s">
        <v>755</v>
      </c>
      <c r="G29" s="1" t="s">
        <v>340</v>
      </c>
      <c r="H29" s="1" t="s">
        <v>22</v>
      </c>
      <c r="I29" s="1" t="s">
        <v>345</v>
      </c>
      <c r="J29" s="1" t="s">
        <v>345</v>
      </c>
    </row>
    <row r="30" spans="1:10" x14ac:dyDescent="0.25">
      <c r="A30" s="1" t="s">
        <v>569</v>
      </c>
      <c r="B30" s="1">
        <v>1</v>
      </c>
      <c r="C30" s="18">
        <f t="shared" si="0"/>
        <v>2.0408163265306123</v>
      </c>
      <c r="D30" s="1" t="s">
        <v>645</v>
      </c>
      <c r="E30" s="1" t="s">
        <v>1</v>
      </c>
      <c r="F30" s="1" t="s">
        <v>755</v>
      </c>
      <c r="G30" s="1" t="s">
        <v>340</v>
      </c>
      <c r="H30" s="1" t="s">
        <v>23</v>
      </c>
      <c r="I30" s="1" t="s">
        <v>345</v>
      </c>
      <c r="J30" s="1" t="s">
        <v>345</v>
      </c>
    </row>
    <row r="31" spans="1:10" x14ac:dyDescent="0.25">
      <c r="A31" s="1" t="s">
        <v>25</v>
      </c>
      <c r="B31" s="1">
        <v>1</v>
      </c>
      <c r="C31" s="18">
        <f t="shared" si="0"/>
        <v>2.0408163265306123</v>
      </c>
      <c r="D31" s="1" t="s">
        <v>645</v>
      </c>
      <c r="E31" s="1" t="s">
        <v>1</v>
      </c>
      <c r="F31" s="1" t="s">
        <v>755</v>
      </c>
      <c r="G31" s="1" t="s">
        <v>340</v>
      </c>
      <c r="H31" s="1" t="s">
        <v>24</v>
      </c>
      <c r="I31" s="1" t="s">
        <v>345</v>
      </c>
      <c r="J31" s="1" t="s">
        <v>345</v>
      </c>
    </row>
    <row r="32" spans="1:10" x14ac:dyDescent="0.25">
      <c r="A32" s="1" t="s">
        <v>28</v>
      </c>
      <c r="B32" s="1">
        <v>1</v>
      </c>
      <c r="C32" s="18">
        <f t="shared" si="0"/>
        <v>2.0408163265306123</v>
      </c>
      <c r="D32" s="1" t="s">
        <v>644</v>
      </c>
      <c r="E32" s="1" t="s">
        <v>1</v>
      </c>
      <c r="F32" s="1" t="s">
        <v>755</v>
      </c>
      <c r="G32" s="1" t="s">
        <v>340</v>
      </c>
      <c r="H32" s="1" t="s">
        <v>26</v>
      </c>
      <c r="I32" s="1" t="s">
        <v>345</v>
      </c>
      <c r="J32" s="1" t="s">
        <v>345</v>
      </c>
    </row>
    <row r="33" spans="1:10" x14ac:dyDescent="0.25">
      <c r="A33" s="1" t="s">
        <v>570</v>
      </c>
      <c r="B33" s="1">
        <v>1</v>
      </c>
      <c r="C33" s="18">
        <f t="shared" si="0"/>
        <v>2.0408163265306123</v>
      </c>
      <c r="D33" s="1" t="s">
        <v>645</v>
      </c>
      <c r="E33" s="1" t="s">
        <v>1</v>
      </c>
      <c r="F33" s="1" t="s">
        <v>755</v>
      </c>
      <c r="G33" s="1" t="s">
        <v>340</v>
      </c>
      <c r="H33" s="1" t="s">
        <v>27</v>
      </c>
      <c r="I33" s="1" t="s">
        <v>345</v>
      </c>
      <c r="J33" s="1" t="s">
        <v>345</v>
      </c>
    </row>
    <row r="34" spans="1:10" x14ac:dyDescent="0.25">
      <c r="A34" s="1" t="s">
        <v>571</v>
      </c>
      <c r="B34" s="1">
        <v>1</v>
      </c>
      <c r="C34" s="18">
        <f t="shared" si="0"/>
        <v>2.0408163265306123</v>
      </c>
      <c r="D34" s="1" t="s">
        <v>645</v>
      </c>
      <c r="E34" s="1" t="s">
        <v>1</v>
      </c>
      <c r="F34" s="1" t="s">
        <v>755</v>
      </c>
      <c r="G34" s="1" t="s">
        <v>340</v>
      </c>
      <c r="H34" s="1" t="s">
        <v>29</v>
      </c>
      <c r="I34" s="1" t="s">
        <v>345</v>
      </c>
      <c r="J34" s="1" t="s">
        <v>345</v>
      </c>
    </row>
    <row r="35" spans="1:10" x14ac:dyDescent="0.25">
      <c r="A35" s="1" t="s">
        <v>32</v>
      </c>
      <c r="B35" s="1">
        <v>1</v>
      </c>
      <c r="C35" s="18">
        <f t="shared" si="0"/>
        <v>2.0408163265306123</v>
      </c>
      <c r="D35" s="1" t="s">
        <v>645</v>
      </c>
      <c r="E35" s="1" t="s">
        <v>1</v>
      </c>
      <c r="F35" s="1" t="s">
        <v>755</v>
      </c>
      <c r="G35" s="1" t="s">
        <v>340</v>
      </c>
      <c r="H35" s="1" t="s">
        <v>30</v>
      </c>
      <c r="I35" s="1" t="s">
        <v>345</v>
      </c>
      <c r="J35" s="1" t="s">
        <v>345</v>
      </c>
    </row>
    <row r="36" spans="1:10" x14ac:dyDescent="0.25">
      <c r="A36" s="1" t="s">
        <v>34</v>
      </c>
      <c r="B36" s="1">
        <v>1</v>
      </c>
      <c r="C36" s="18">
        <f t="shared" si="0"/>
        <v>2.0408163265306123</v>
      </c>
      <c r="D36" s="1" t="s">
        <v>645</v>
      </c>
      <c r="E36" s="1" t="s">
        <v>1</v>
      </c>
      <c r="F36" s="1" t="s">
        <v>755</v>
      </c>
      <c r="G36" s="1" t="s">
        <v>340</v>
      </c>
      <c r="H36" s="1" t="s">
        <v>31</v>
      </c>
      <c r="I36" s="1" t="s">
        <v>345</v>
      </c>
      <c r="J36" s="1" t="s">
        <v>345</v>
      </c>
    </row>
    <row r="37" spans="1:10" x14ac:dyDescent="0.25">
      <c r="A37" s="1" t="s">
        <v>572</v>
      </c>
      <c r="B37" s="1">
        <v>0</v>
      </c>
      <c r="C37" s="1" t="s">
        <v>1006</v>
      </c>
      <c r="D37" s="1">
        <v>0</v>
      </c>
      <c r="E37" s="1"/>
      <c r="F37" s="1"/>
      <c r="G37" s="1"/>
      <c r="H37" s="1"/>
      <c r="I37" s="1" t="s">
        <v>345</v>
      </c>
      <c r="J37" s="1" t="s">
        <v>345</v>
      </c>
    </row>
    <row r="38" spans="1:10" x14ac:dyDescent="0.25">
      <c r="A38" s="1" t="s">
        <v>573</v>
      </c>
      <c r="B38" s="1">
        <v>0</v>
      </c>
      <c r="C38" s="1" t="s">
        <v>1006</v>
      </c>
      <c r="D38" s="1">
        <v>0</v>
      </c>
      <c r="E38" s="1"/>
      <c r="F38" s="1"/>
      <c r="G38" s="1"/>
      <c r="H38" s="1"/>
      <c r="I38" s="1" t="s">
        <v>345</v>
      </c>
      <c r="J38" s="1" t="s">
        <v>345</v>
      </c>
    </row>
    <row r="39" spans="1:10" x14ac:dyDescent="0.25">
      <c r="A39" s="1" t="s">
        <v>574</v>
      </c>
      <c r="B39" s="1">
        <v>0</v>
      </c>
      <c r="C39" s="1" t="s">
        <v>1006</v>
      </c>
      <c r="D39" s="1">
        <v>0</v>
      </c>
      <c r="E39" s="1"/>
      <c r="F39" s="1"/>
      <c r="G39" s="1"/>
      <c r="H39" s="1"/>
      <c r="I39" s="1" t="s">
        <v>345</v>
      </c>
      <c r="J39" s="1" t="s">
        <v>345</v>
      </c>
    </row>
    <row r="40" spans="1:10" x14ac:dyDescent="0.25">
      <c r="A40" s="1" t="s">
        <v>575</v>
      </c>
      <c r="B40" s="1">
        <v>0</v>
      </c>
      <c r="C40" s="1" t="s">
        <v>1006</v>
      </c>
      <c r="D40" s="1">
        <v>0</v>
      </c>
      <c r="E40" s="1"/>
      <c r="F40" s="1"/>
      <c r="G40" s="1"/>
      <c r="H40" s="1"/>
      <c r="I40" s="1" t="s">
        <v>345</v>
      </c>
      <c r="J40" s="1" t="s">
        <v>345</v>
      </c>
    </row>
    <row r="41" spans="1:10" x14ac:dyDescent="0.25">
      <c r="A41" s="1" t="s">
        <v>576</v>
      </c>
      <c r="B41" s="1">
        <v>0</v>
      </c>
      <c r="C41" s="1" t="s">
        <v>1006</v>
      </c>
      <c r="D41" s="1">
        <v>0</v>
      </c>
      <c r="E41" s="1"/>
      <c r="F41" s="1"/>
      <c r="G41" s="1"/>
      <c r="H41" s="1"/>
      <c r="I41" s="1" t="s">
        <v>345</v>
      </c>
      <c r="J41" s="1" t="s">
        <v>345</v>
      </c>
    </row>
    <row r="42" spans="1:10" x14ac:dyDescent="0.25">
      <c r="A42" s="1" t="s">
        <v>577</v>
      </c>
      <c r="B42" s="1">
        <v>0</v>
      </c>
      <c r="C42" s="1" t="s">
        <v>1006</v>
      </c>
      <c r="D42" s="1">
        <v>0</v>
      </c>
      <c r="E42" s="1"/>
      <c r="F42" s="1"/>
      <c r="G42" s="1"/>
      <c r="H42" s="1"/>
      <c r="I42" s="1" t="s">
        <v>345</v>
      </c>
      <c r="J42" s="1" t="s">
        <v>345</v>
      </c>
    </row>
    <row r="43" spans="1:10" x14ac:dyDescent="0.25">
      <c r="A43" s="1" t="s">
        <v>578</v>
      </c>
      <c r="B43" s="1">
        <v>0</v>
      </c>
      <c r="C43" s="1" t="s">
        <v>1006</v>
      </c>
      <c r="D43" s="1">
        <v>0</v>
      </c>
      <c r="E43" s="1"/>
      <c r="F43" s="1"/>
      <c r="G43" s="1"/>
      <c r="H43" s="1"/>
      <c r="I43" s="1" t="s">
        <v>345</v>
      </c>
      <c r="J43" s="1" t="s">
        <v>345</v>
      </c>
    </row>
    <row r="44" spans="1:10" x14ac:dyDescent="0.25">
      <c r="A44" s="1" t="s">
        <v>579</v>
      </c>
      <c r="B44" s="1">
        <v>0</v>
      </c>
      <c r="C44" s="1" t="s">
        <v>1006</v>
      </c>
      <c r="D44" s="1">
        <v>0</v>
      </c>
      <c r="E44" s="1"/>
      <c r="F44" s="1"/>
      <c r="G44" s="1"/>
      <c r="H44" s="1"/>
      <c r="I44" s="1" t="s">
        <v>345</v>
      </c>
      <c r="J44" s="1" t="s">
        <v>345</v>
      </c>
    </row>
    <row r="45" spans="1:10" x14ac:dyDescent="0.25">
      <c r="A45" s="1" t="s">
        <v>580</v>
      </c>
      <c r="B45" s="1">
        <v>0</v>
      </c>
      <c r="C45" s="1" t="s">
        <v>1006</v>
      </c>
      <c r="D45" s="1">
        <v>0</v>
      </c>
      <c r="E45" s="1"/>
      <c r="F45" s="1"/>
      <c r="G45" s="1"/>
      <c r="H45" s="1"/>
      <c r="I45" s="1" t="s">
        <v>345</v>
      </c>
      <c r="J45" s="1" t="s">
        <v>345</v>
      </c>
    </row>
    <row r="46" spans="1:10" x14ac:dyDescent="0.25">
      <c r="A46" s="1" t="s">
        <v>581</v>
      </c>
      <c r="B46" s="1">
        <v>0</v>
      </c>
      <c r="C46" s="1" t="s">
        <v>1006</v>
      </c>
      <c r="D46" s="1">
        <v>0</v>
      </c>
      <c r="E46" s="1"/>
      <c r="F46" s="1"/>
      <c r="G46" s="1"/>
      <c r="H46" s="1"/>
      <c r="I46" s="1" t="s">
        <v>345</v>
      </c>
      <c r="J46" s="1" t="s">
        <v>345</v>
      </c>
    </row>
    <row r="47" spans="1:10" x14ac:dyDescent="0.25">
      <c r="A47" s="1" t="s">
        <v>582</v>
      </c>
      <c r="B47" s="1">
        <v>0</v>
      </c>
      <c r="C47" s="1" t="s">
        <v>1006</v>
      </c>
      <c r="D47" s="1">
        <v>0</v>
      </c>
      <c r="E47" s="1"/>
      <c r="F47" s="1"/>
      <c r="G47" s="1"/>
      <c r="H47" s="1"/>
      <c r="I47" s="1" t="s">
        <v>345</v>
      </c>
      <c r="J47" s="1" t="s">
        <v>345</v>
      </c>
    </row>
    <row r="48" spans="1:10" x14ac:dyDescent="0.25">
      <c r="A48" s="1" t="s">
        <v>583</v>
      </c>
      <c r="B48" s="1">
        <v>0</v>
      </c>
      <c r="C48" s="1" t="s">
        <v>1006</v>
      </c>
      <c r="D48" s="1">
        <v>0</v>
      </c>
      <c r="E48" s="1"/>
      <c r="F48" s="1"/>
      <c r="G48" s="1"/>
      <c r="H48" s="1"/>
      <c r="I48" s="1" t="s">
        <v>345</v>
      </c>
      <c r="J48" s="1" t="s">
        <v>345</v>
      </c>
    </row>
    <row r="49" spans="1:10" x14ac:dyDescent="0.25">
      <c r="A49" s="1" t="s">
        <v>584</v>
      </c>
      <c r="B49" s="1">
        <v>0</v>
      </c>
      <c r="C49" s="1" t="s">
        <v>1006</v>
      </c>
      <c r="D49" s="1">
        <v>0</v>
      </c>
      <c r="E49" s="1"/>
      <c r="F49" s="1"/>
      <c r="G49" s="1"/>
      <c r="H49" s="1"/>
      <c r="I49" s="1" t="s">
        <v>345</v>
      </c>
      <c r="J49" s="1" t="s">
        <v>345</v>
      </c>
    </row>
    <row r="50" spans="1:10" x14ac:dyDescent="0.25">
      <c r="A50" s="1" t="s">
        <v>585</v>
      </c>
      <c r="B50" s="1">
        <v>0</v>
      </c>
      <c r="C50" s="1" t="s">
        <v>1006</v>
      </c>
      <c r="D50" s="1">
        <v>0</v>
      </c>
      <c r="E50" s="1"/>
      <c r="F50" s="1"/>
      <c r="G50" s="1"/>
      <c r="H50" s="1"/>
      <c r="I50" s="1" t="s">
        <v>345</v>
      </c>
      <c r="J50" s="1" t="s">
        <v>345</v>
      </c>
    </row>
    <row r="51" spans="1:10" x14ac:dyDescent="0.25">
      <c r="A51" s="1" t="s">
        <v>586</v>
      </c>
      <c r="B51" s="1">
        <v>0</v>
      </c>
      <c r="C51" s="1" t="s">
        <v>1006</v>
      </c>
      <c r="D51" s="1">
        <v>0</v>
      </c>
      <c r="E51" s="1"/>
      <c r="F51" s="1"/>
      <c r="G51" s="1"/>
      <c r="H51" s="1"/>
      <c r="I51" s="1" t="s">
        <v>345</v>
      </c>
      <c r="J51" s="1" t="s">
        <v>345</v>
      </c>
    </row>
    <row r="52" spans="1:10" x14ac:dyDescent="0.25">
      <c r="A52" s="1" t="s">
        <v>587</v>
      </c>
      <c r="B52" s="1">
        <v>0</v>
      </c>
      <c r="C52" s="1" t="s">
        <v>1006</v>
      </c>
      <c r="D52" s="1">
        <v>0</v>
      </c>
      <c r="E52" s="1"/>
      <c r="F52" s="1"/>
      <c r="G52" s="1"/>
      <c r="H52" s="1"/>
      <c r="I52" s="1" t="s">
        <v>345</v>
      </c>
      <c r="J52" s="1" t="s">
        <v>345</v>
      </c>
    </row>
    <row r="53" spans="1:10" x14ac:dyDescent="0.25">
      <c r="A53" s="1" t="s">
        <v>588</v>
      </c>
      <c r="B53" s="1">
        <v>0</v>
      </c>
      <c r="C53" s="1" t="s">
        <v>1006</v>
      </c>
      <c r="D53" s="1">
        <v>0</v>
      </c>
      <c r="E53" s="1"/>
      <c r="F53" s="1"/>
      <c r="G53" s="1"/>
      <c r="H53" s="1"/>
      <c r="I53" s="1" t="s">
        <v>345</v>
      </c>
      <c r="J53" s="1" t="s">
        <v>345</v>
      </c>
    </row>
    <row r="54" spans="1:10" x14ac:dyDescent="0.25">
      <c r="A54" s="1" t="s">
        <v>589</v>
      </c>
      <c r="B54" s="1">
        <v>0</v>
      </c>
      <c r="C54" s="1" t="s">
        <v>1006</v>
      </c>
      <c r="D54" s="1">
        <v>0</v>
      </c>
      <c r="E54" s="1"/>
      <c r="F54" s="1"/>
      <c r="G54" s="1"/>
      <c r="H54" s="1"/>
      <c r="I54" s="1" t="s">
        <v>345</v>
      </c>
      <c r="J54" s="1" t="s">
        <v>345</v>
      </c>
    </row>
    <row r="55" spans="1:10" x14ac:dyDescent="0.25">
      <c r="A55" s="1" t="s">
        <v>590</v>
      </c>
      <c r="B55" s="1">
        <v>0</v>
      </c>
      <c r="C55" s="1" t="s">
        <v>1006</v>
      </c>
      <c r="D55" s="1">
        <v>0</v>
      </c>
      <c r="E55" s="1"/>
      <c r="F55" s="1"/>
      <c r="G55" s="1"/>
      <c r="H55" s="1"/>
      <c r="I55" s="1" t="s">
        <v>345</v>
      </c>
      <c r="J55" s="1" t="s">
        <v>345</v>
      </c>
    </row>
    <row r="56" spans="1:10" x14ac:dyDescent="0.25">
      <c r="A56" s="1" t="s">
        <v>591</v>
      </c>
      <c r="B56" s="1">
        <v>0</v>
      </c>
      <c r="C56" s="1" t="s">
        <v>1006</v>
      </c>
      <c r="D56" s="1">
        <v>0</v>
      </c>
      <c r="E56" s="1"/>
      <c r="F56" s="1"/>
      <c r="G56" s="1"/>
      <c r="H56" s="1"/>
      <c r="I56" s="1" t="s">
        <v>345</v>
      </c>
      <c r="J56" s="1" t="s">
        <v>345</v>
      </c>
    </row>
    <row r="57" spans="1:10" x14ac:dyDescent="0.25">
      <c r="A57" s="1" t="s">
        <v>592</v>
      </c>
      <c r="B57" s="1">
        <v>0</v>
      </c>
      <c r="C57" s="1" t="s">
        <v>1006</v>
      </c>
      <c r="D57" s="1">
        <v>0</v>
      </c>
      <c r="E57" s="1"/>
      <c r="F57" s="1"/>
      <c r="G57" s="1"/>
      <c r="H57" s="1"/>
      <c r="I57" s="1" t="s">
        <v>345</v>
      </c>
      <c r="J57" s="1" t="s">
        <v>345</v>
      </c>
    </row>
    <row r="58" spans="1:10" x14ac:dyDescent="0.25">
      <c r="A58" s="1" t="s">
        <v>593</v>
      </c>
      <c r="B58" s="1">
        <v>0</v>
      </c>
      <c r="C58" s="1" t="s">
        <v>1006</v>
      </c>
      <c r="D58" s="1">
        <v>0</v>
      </c>
      <c r="E58" s="1"/>
      <c r="F58" s="1"/>
      <c r="G58" s="1"/>
      <c r="H58" s="1"/>
      <c r="I58" s="1" t="s">
        <v>345</v>
      </c>
      <c r="J58" s="1" t="s">
        <v>345</v>
      </c>
    </row>
    <row r="59" spans="1:10" x14ac:dyDescent="0.25">
      <c r="A59" s="1" t="s">
        <v>594</v>
      </c>
      <c r="B59" s="1">
        <v>0</v>
      </c>
      <c r="C59" s="1" t="s">
        <v>1006</v>
      </c>
      <c r="D59" s="1">
        <v>0</v>
      </c>
      <c r="E59" s="1"/>
      <c r="F59" s="1"/>
      <c r="G59" s="1"/>
      <c r="H59" s="1"/>
      <c r="I59" s="1" t="s">
        <v>345</v>
      </c>
      <c r="J59" s="1" t="s">
        <v>345</v>
      </c>
    </row>
    <row r="60" spans="1:10" x14ac:dyDescent="0.25">
      <c r="A60" s="1" t="s">
        <v>595</v>
      </c>
      <c r="B60" s="1">
        <v>0</v>
      </c>
      <c r="C60" s="1" t="s">
        <v>1006</v>
      </c>
      <c r="D60" s="1">
        <v>0</v>
      </c>
      <c r="E60" s="1"/>
      <c r="F60" s="1"/>
      <c r="G60" s="1"/>
      <c r="H60" s="1"/>
      <c r="I60" s="1" t="s">
        <v>345</v>
      </c>
      <c r="J60" s="1" t="s">
        <v>345</v>
      </c>
    </row>
    <row r="61" spans="1:10" x14ac:dyDescent="0.25">
      <c r="A61" s="1" t="s">
        <v>596</v>
      </c>
      <c r="B61" s="1">
        <v>0</v>
      </c>
      <c r="C61" s="1" t="s">
        <v>1006</v>
      </c>
      <c r="D61" s="1">
        <v>0</v>
      </c>
      <c r="E61" s="1"/>
      <c r="F61" s="1"/>
      <c r="G61" s="1"/>
      <c r="H61" s="1"/>
      <c r="I61" s="1" t="s">
        <v>345</v>
      </c>
      <c r="J61" s="1" t="s">
        <v>345</v>
      </c>
    </row>
    <row r="62" spans="1:10" x14ac:dyDescent="0.25">
      <c r="A62" s="1" t="s">
        <v>597</v>
      </c>
      <c r="B62" s="1">
        <v>0</v>
      </c>
      <c r="C62" s="1" t="s">
        <v>1006</v>
      </c>
      <c r="D62" s="1">
        <v>0</v>
      </c>
      <c r="E62" s="1"/>
      <c r="F62" s="1"/>
      <c r="G62" s="1"/>
      <c r="H62" s="1"/>
      <c r="I62" s="1" t="s">
        <v>345</v>
      </c>
      <c r="J62" s="1" t="s">
        <v>345</v>
      </c>
    </row>
    <row r="63" spans="1:10" x14ac:dyDescent="0.25">
      <c r="A63" s="1" t="s">
        <v>598</v>
      </c>
      <c r="B63" s="1">
        <v>0</v>
      </c>
      <c r="C63" s="1" t="s">
        <v>1006</v>
      </c>
      <c r="D63" s="1">
        <v>0</v>
      </c>
      <c r="E63" s="1"/>
      <c r="F63" s="1"/>
      <c r="G63" s="1"/>
      <c r="H63" s="1"/>
      <c r="I63" s="1" t="s">
        <v>345</v>
      </c>
      <c r="J63" s="1" t="s">
        <v>345</v>
      </c>
    </row>
    <row r="64" spans="1:10" x14ac:dyDescent="0.25">
      <c r="A64" s="1" t="s">
        <v>599</v>
      </c>
      <c r="B64" s="1">
        <v>0</v>
      </c>
      <c r="C64" s="1" t="s">
        <v>1006</v>
      </c>
      <c r="D64" s="1">
        <v>0</v>
      </c>
      <c r="E64" s="1"/>
      <c r="F64" s="1"/>
      <c r="G64" s="1"/>
      <c r="H64" s="1"/>
      <c r="I64" s="1" t="s">
        <v>345</v>
      </c>
      <c r="J64" s="1" t="s">
        <v>345</v>
      </c>
    </row>
    <row r="65" spans="1:10" x14ac:dyDescent="0.25">
      <c r="A65" s="1" t="s">
        <v>600</v>
      </c>
      <c r="B65" s="1">
        <v>0</v>
      </c>
      <c r="C65" s="1" t="s">
        <v>1006</v>
      </c>
      <c r="D65" s="1">
        <v>0</v>
      </c>
      <c r="E65" s="1"/>
      <c r="F65" s="1"/>
      <c r="G65" s="1"/>
      <c r="H65" s="1"/>
      <c r="I65" s="1" t="s">
        <v>345</v>
      </c>
      <c r="J65" s="1" t="s">
        <v>345</v>
      </c>
    </row>
    <row r="66" spans="1:10" x14ac:dyDescent="0.25">
      <c r="A66" s="1" t="s">
        <v>601</v>
      </c>
      <c r="B66" s="1">
        <v>0</v>
      </c>
      <c r="C66" s="1" t="s">
        <v>1006</v>
      </c>
      <c r="D66" s="1">
        <v>0</v>
      </c>
      <c r="E66" s="1"/>
      <c r="F66" s="1"/>
      <c r="G66" s="1"/>
      <c r="H66" s="1"/>
      <c r="I66" s="1" t="s">
        <v>345</v>
      </c>
      <c r="J66" s="1" t="s">
        <v>345</v>
      </c>
    </row>
    <row r="67" spans="1:10" x14ac:dyDescent="0.25">
      <c r="A67" s="1" t="s">
        <v>602</v>
      </c>
      <c r="B67" s="1">
        <v>0</v>
      </c>
      <c r="C67" s="1" t="s">
        <v>1006</v>
      </c>
      <c r="D67" s="1">
        <v>0</v>
      </c>
      <c r="E67" s="1"/>
      <c r="F67" s="1"/>
      <c r="G67" s="1"/>
      <c r="H67" s="1"/>
      <c r="I67" s="1" t="s">
        <v>345</v>
      </c>
      <c r="J67" s="1" t="s">
        <v>345</v>
      </c>
    </row>
    <row r="68" spans="1:10" x14ac:dyDescent="0.25">
      <c r="A68" s="1" t="s">
        <v>603</v>
      </c>
      <c r="B68" s="1">
        <v>0</v>
      </c>
      <c r="C68" s="1" t="s">
        <v>1006</v>
      </c>
      <c r="D68" s="1">
        <v>0</v>
      </c>
      <c r="E68" s="1"/>
      <c r="F68" s="1"/>
      <c r="G68" s="1"/>
      <c r="H68" s="1"/>
      <c r="I68" s="1" t="s">
        <v>345</v>
      </c>
      <c r="J68" s="1" t="s">
        <v>345</v>
      </c>
    </row>
    <row r="69" spans="1:10" x14ac:dyDescent="0.25">
      <c r="A69" s="1" t="s">
        <v>604</v>
      </c>
      <c r="B69" s="1">
        <v>0</v>
      </c>
      <c r="C69" s="1" t="s">
        <v>1006</v>
      </c>
      <c r="D69" s="1">
        <v>0</v>
      </c>
      <c r="E69" s="1"/>
      <c r="F69" s="1"/>
      <c r="G69" s="1"/>
      <c r="H69" s="1"/>
      <c r="I69" s="1" t="s">
        <v>345</v>
      </c>
      <c r="J69" s="1" t="s">
        <v>345</v>
      </c>
    </row>
    <row r="70" spans="1:10" x14ac:dyDescent="0.25">
      <c r="A70" s="1" t="s">
        <v>605</v>
      </c>
      <c r="B70" s="1">
        <v>0</v>
      </c>
      <c r="C70" s="1" t="s">
        <v>1006</v>
      </c>
      <c r="D70" s="1">
        <v>0</v>
      </c>
      <c r="E70" s="1"/>
      <c r="F70" s="1"/>
      <c r="G70" s="1"/>
      <c r="H70" s="1"/>
      <c r="I70" s="1" t="s">
        <v>345</v>
      </c>
      <c r="J70" s="1" t="s">
        <v>345</v>
      </c>
    </row>
    <row r="71" spans="1:10" x14ac:dyDescent="0.25">
      <c r="A71" s="1" t="s">
        <v>606</v>
      </c>
      <c r="B71" s="1">
        <v>0</v>
      </c>
      <c r="C71" s="1" t="s">
        <v>1006</v>
      </c>
      <c r="D71" s="1">
        <v>0</v>
      </c>
      <c r="E71" s="1"/>
      <c r="F71" s="1"/>
      <c r="G71" s="1"/>
      <c r="H71" s="1"/>
      <c r="I71" s="1" t="s">
        <v>345</v>
      </c>
      <c r="J71" s="1" t="s">
        <v>345</v>
      </c>
    </row>
    <row r="72" spans="1:10" x14ac:dyDescent="0.25">
      <c r="A72" s="1" t="s">
        <v>607</v>
      </c>
      <c r="B72" s="1">
        <v>0</v>
      </c>
      <c r="C72" s="1" t="s">
        <v>1006</v>
      </c>
      <c r="D72" s="1">
        <v>0</v>
      </c>
      <c r="E72" s="1"/>
      <c r="F72" s="1"/>
      <c r="G72" s="1"/>
      <c r="H72" s="1"/>
      <c r="I72" s="1" t="s">
        <v>345</v>
      </c>
      <c r="J72" s="1" t="s">
        <v>345</v>
      </c>
    </row>
    <row r="73" spans="1:10" x14ac:dyDescent="0.25">
      <c r="A73" s="1" t="s">
        <v>608</v>
      </c>
      <c r="B73" s="1">
        <v>0</v>
      </c>
      <c r="C73" s="1" t="s">
        <v>1006</v>
      </c>
      <c r="D73" s="1">
        <v>0</v>
      </c>
      <c r="E73" s="1"/>
      <c r="F73" s="1"/>
      <c r="G73" s="1"/>
      <c r="H73" s="1"/>
      <c r="I73" s="1" t="s">
        <v>345</v>
      </c>
      <c r="J73" s="1" t="s">
        <v>345</v>
      </c>
    </row>
    <row r="74" spans="1:10" x14ac:dyDescent="0.25">
      <c r="A74" s="1" t="s">
        <v>609</v>
      </c>
      <c r="B74" s="1">
        <v>0</v>
      </c>
      <c r="C74" s="1" t="s">
        <v>1006</v>
      </c>
      <c r="D74" s="1">
        <v>0</v>
      </c>
      <c r="E74" s="1"/>
      <c r="F74" s="1"/>
      <c r="G74" s="1"/>
      <c r="H74" s="1"/>
      <c r="I74" s="1" t="s">
        <v>345</v>
      </c>
      <c r="J74" s="1" t="s">
        <v>345</v>
      </c>
    </row>
    <row r="75" spans="1:10" x14ac:dyDescent="0.25">
      <c r="A75" s="1" t="s">
        <v>610</v>
      </c>
      <c r="B75" s="1">
        <v>0</v>
      </c>
      <c r="C75" s="1" t="s">
        <v>1006</v>
      </c>
      <c r="D75" s="1">
        <v>0</v>
      </c>
      <c r="E75" s="1"/>
      <c r="F75" s="1"/>
      <c r="G75" s="1"/>
      <c r="H75" s="1"/>
      <c r="I75" s="1" t="s">
        <v>345</v>
      </c>
      <c r="J75" s="1" t="s">
        <v>345</v>
      </c>
    </row>
    <row r="76" spans="1:10" x14ac:dyDescent="0.25">
      <c r="A76" s="1" t="s">
        <v>611</v>
      </c>
      <c r="B76" s="1">
        <v>0</v>
      </c>
      <c r="C76" s="1" t="s">
        <v>1006</v>
      </c>
      <c r="D76" s="1">
        <v>0</v>
      </c>
      <c r="E76" s="1"/>
      <c r="F76" s="1"/>
      <c r="G76" s="1"/>
      <c r="H76" s="1"/>
      <c r="I76" s="1" t="s">
        <v>345</v>
      </c>
      <c r="J76" s="1" t="s">
        <v>345</v>
      </c>
    </row>
    <row r="77" spans="1:10" x14ac:dyDescent="0.25">
      <c r="A77" s="1" t="s">
        <v>612</v>
      </c>
      <c r="B77" s="1">
        <v>0</v>
      </c>
      <c r="C77" s="1" t="s">
        <v>1006</v>
      </c>
      <c r="D77" s="1">
        <v>0</v>
      </c>
      <c r="E77" s="1"/>
      <c r="F77" s="1"/>
      <c r="G77" s="1"/>
      <c r="H77" s="1"/>
      <c r="I77" s="1" t="s">
        <v>345</v>
      </c>
      <c r="J77" s="1" t="s">
        <v>345</v>
      </c>
    </row>
    <row r="78" spans="1:10" x14ac:dyDescent="0.25">
      <c r="A78" s="1" t="s">
        <v>613</v>
      </c>
      <c r="B78" s="1">
        <v>0</v>
      </c>
      <c r="C78" s="1" t="s">
        <v>1006</v>
      </c>
      <c r="D78" s="1">
        <v>0</v>
      </c>
      <c r="E78" s="1"/>
      <c r="F78" s="1"/>
      <c r="G78" s="1"/>
      <c r="H78" s="1"/>
      <c r="I78" s="1" t="s">
        <v>345</v>
      </c>
      <c r="J78" s="1" t="s">
        <v>345</v>
      </c>
    </row>
    <row r="79" spans="1:10" x14ac:dyDescent="0.25">
      <c r="A79" s="1" t="s">
        <v>614</v>
      </c>
      <c r="B79" s="1">
        <v>0</v>
      </c>
      <c r="C79" s="1" t="s">
        <v>1006</v>
      </c>
      <c r="D79" s="1">
        <v>0</v>
      </c>
      <c r="E79" s="1"/>
      <c r="F79" s="1"/>
      <c r="G79" s="1"/>
      <c r="H79" s="1"/>
      <c r="I79" s="1" t="s">
        <v>345</v>
      </c>
      <c r="J79" s="1" t="s">
        <v>345</v>
      </c>
    </row>
    <row r="80" spans="1:10" x14ac:dyDescent="0.25">
      <c r="A80" s="1" t="s">
        <v>615</v>
      </c>
      <c r="B80" s="1">
        <v>0</v>
      </c>
      <c r="C80" s="1" t="s">
        <v>1006</v>
      </c>
      <c r="D80" s="1">
        <v>0</v>
      </c>
      <c r="E80" s="1"/>
      <c r="F80" s="1"/>
      <c r="G80" s="1"/>
      <c r="H80" s="1"/>
      <c r="I80" s="1" t="s">
        <v>345</v>
      </c>
      <c r="J80" s="1" t="s">
        <v>345</v>
      </c>
    </row>
    <row r="81" spans="1:10" x14ac:dyDescent="0.25">
      <c r="A81" s="1" t="s">
        <v>616</v>
      </c>
      <c r="B81" s="1">
        <v>0</v>
      </c>
      <c r="C81" s="1" t="s">
        <v>1006</v>
      </c>
      <c r="D81" s="1">
        <v>0</v>
      </c>
      <c r="E81" s="1"/>
      <c r="F81" s="1"/>
      <c r="G81" s="1"/>
      <c r="H81" s="1"/>
      <c r="I81" s="1" t="s">
        <v>345</v>
      </c>
      <c r="J81" s="1" t="s">
        <v>345</v>
      </c>
    </row>
    <row r="82" spans="1:10" x14ac:dyDescent="0.25">
      <c r="A82" s="1" t="s">
        <v>617</v>
      </c>
      <c r="B82" s="1">
        <v>0</v>
      </c>
      <c r="C82" s="1" t="s">
        <v>1006</v>
      </c>
      <c r="D82" s="1">
        <v>0</v>
      </c>
      <c r="E82" s="1"/>
      <c r="F82" s="1"/>
      <c r="G82" s="1"/>
      <c r="H82" s="1"/>
      <c r="I82" s="1" t="s">
        <v>345</v>
      </c>
      <c r="J82" s="1" t="s">
        <v>345</v>
      </c>
    </row>
    <row r="83" spans="1:10" x14ac:dyDescent="0.25">
      <c r="A83" s="1" t="s">
        <v>618</v>
      </c>
      <c r="B83" s="1">
        <v>0</v>
      </c>
      <c r="C83" s="1" t="s">
        <v>1006</v>
      </c>
      <c r="D83" s="1">
        <v>0</v>
      </c>
      <c r="E83" s="1"/>
      <c r="F83" s="1"/>
      <c r="G83" s="1"/>
      <c r="H83" s="1"/>
      <c r="I83" s="1" t="s">
        <v>345</v>
      </c>
      <c r="J83" s="1" t="s">
        <v>345</v>
      </c>
    </row>
    <row r="84" spans="1:10" x14ac:dyDescent="0.25">
      <c r="A84" s="1" t="s">
        <v>619</v>
      </c>
      <c r="B84" s="1">
        <v>0</v>
      </c>
      <c r="C84" s="1" t="s">
        <v>1006</v>
      </c>
      <c r="D84" s="1">
        <v>0</v>
      </c>
      <c r="E84" s="1"/>
      <c r="F84" s="1"/>
      <c r="G84" s="1"/>
      <c r="H84" s="1"/>
      <c r="I84" s="1" t="s">
        <v>345</v>
      </c>
      <c r="J84" s="1" t="s">
        <v>345</v>
      </c>
    </row>
    <row r="85" spans="1:10" x14ac:dyDescent="0.25">
      <c r="A85" s="1" t="s">
        <v>620</v>
      </c>
      <c r="B85" s="1">
        <v>0</v>
      </c>
      <c r="C85" s="1" t="s">
        <v>1006</v>
      </c>
      <c r="D85" s="1">
        <v>0</v>
      </c>
      <c r="E85" s="1"/>
      <c r="F85" s="1"/>
      <c r="G85" s="1"/>
      <c r="H85" s="1"/>
      <c r="I85" s="1" t="s">
        <v>345</v>
      </c>
      <c r="J85" s="1" t="s">
        <v>345</v>
      </c>
    </row>
    <row r="86" spans="1:10" x14ac:dyDescent="0.25">
      <c r="A86" s="1" t="s">
        <v>621</v>
      </c>
      <c r="B86" s="1">
        <v>0</v>
      </c>
      <c r="C86" s="1" t="s">
        <v>1006</v>
      </c>
      <c r="D86" s="1">
        <v>0</v>
      </c>
      <c r="E86" s="1"/>
      <c r="F86" s="1"/>
      <c r="G86" s="1"/>
      <c r="H86" s="1"/>
      <c r="I86" s="1" t="s">
        <v>345</v>
      </c>
      <c r="J86" s="1" t="s">
        <v>345</v>
      </c>
    </row>
    <row r="87" spans="1:10" x14ac:dyDescent="0.25">
      <c r="A87" s="1" t="s">
        <v>622</v>
      </c>
      <c r="B87" s="1">
        <v>0</v>
      </c>
      <c r="C87" s="1" t="s">
        <v>1006</v>
      </c>
      <c r="D87" s="1">
        <v>0</v>
      </c>
      <c r="E87" s="1"/>
      <c r="F87" s="1"/>
      <c r="G87" s="1"/>
      <c r="H87" s="1"/>
      <c r="I87" s="1" t="s">
        <v>345</v>
      </c>
      <c r="J87" s="1" t="s">
        <v>345</v>
      </c>
    </row>
    <row r="88" spans="1:10" x14ac:dyDescent="0.25">
      <c r="A88" s="1" t="s">
        <v>623</v>
      </c>
      <c r="B88" s="1">
        <v>0</v>
      </c>
      <c r="C88" s="1" t="s">
        <v>1006</v>
      </c>
      <c r="D88" s="1">
        <v>0</v>
      </c>
      <c r="E88" s="1"/>
      <c r="F88" s="1"/>
      <c r="G88" s="1"/>
      <c r="H88" s="1"/>
      <c r="I88" s="1" t="s">
        <v>345</v>
      </c>
      <c r="J88" s="1" t="s">
        <v>345</v>
      </c>
    </row>
    <row r="89" spans="1:10" x14ac:dyDescent="0.25">
      <c r="A89" s="1" t="s">
        <v>624</v>
      </c>
      <c r="B89" s="1">
        <v>0</v>
      </c>
      <c r="C89" s="1" t="s">
        <v>1006</v>
      </c>
      <c r="D89" s="1">
        <v>0</v>
      </c>
      <c r="E89" s="1"/>
      <c r="F89" s="1"/>
      <c r="G89" s="1"/>
      <c r="H89" s="1"/>
      <c r="I89" s="1" t="s">
        <v>345</v>
      </c>
      <c r="J89" s="1" t="s">
        <v>345</v>
      </c>
    </row>
    <row r="90" spans="1:10" x14ac:dyDescent="0.25">
      <c r="A90" s="1" t="s">
        <v>625</v>
      </c>
      <c r="B90" s="1">
        <v>0</v>
      </c>
      <c r="C90" s="1" t="s">
        <v>1006</v>
      </c>
      <c r="D90" s="1">
        <v>0</v>
      </c>
      <c r="E90" s="1"/>
      <c r="F90" s="1"/>
      <c r="G90" s="1"/>
      <c r="H90" s="1"/>
      <c r="I90" s="1" t="s">
        <v>345</v>
      </c>
      <c r="J90" s="1" t="s">
        <v>345</v>
      </c>
    </row>
    <row r="91" spans="1:10" x14ac:dyDescent="0.25">
      <c r="A91" s="1" t="s">
        <v>626</v>
      </c>
      <c r="B91" s="1">
        <v>0</v>
      </c>
      <c r="C91" s="1" t="s">
        <v>1006</v>
      </c>
      <c r="D91" s="1">
        <v>0</v>
      </c>
      <c r="E91" s="1"/>
      <c r="F91" s="1"/>
      <c r="G91" s="1"/>
      <c r="H91" s="1"/>
      <c r="I91" s="1" t="s">
        <v>345</v>
      </c>
      <c r="J91" s="1" t="s">
        <v>345</v>
      </c>
    </row>
    <row r="92" spans="1:10" x14ac:dyDescent="0.25">
      <c r="A92" s="1" t="s">
        <v>627</v>
      </c>
      <c r="B92" s="1">
        <v>0</v>
      </c>
      <c r="C92" s="1" t="s">
        <v>1006</v>
      </c>
      <c r="D92" s="1">
        <v>0</v>
      </c>
      <c r="E92" s="1"/>
      <c r="F92" s="1"/>
      <c r="G92" s="1"/>
      <c r="H92" s="1"/>
      <c r="I92" s="1" t="s">
        <v>345</v>
      </c>
      <c r="J92" s="1" t="s">
        <v>345</v>
      </c>
    </row>
    <row r="93" spans="1:10" x14ac:dyDescent="0.25">
      <c r="A93" s="1" t="s">
        <v>628</v>
      </c>
      <c r="B93" s="1">
        <v>0</v>
      </c>
      <c r="C93" s="1" t="s">
        <v>1006</v>
      </c>
      <c r="D93" s="1">
        <v>0</v>
      </c>
      <c r="E93" s="1"/>
      <c r="F93" s="1"/>
      <c r="G93" s="1"/>
      <c r="H93" s="1"/>
      <c r="I93" s="1" t="s">
        <v>345</v>
      </c>
      <c r="J93" s="1" t="s">
        <v>345</v>
      </c>
    </row>
    <row r="94" spans="1:10" x14ac:dyDescent="0.25">
      <c r="A94" s="1" t="s">
        <v>629</v>
      </c>
      <c r="B94" s="1">
        <v>0</v>
      </c>
      <c r="C94" s="1" t="s">
        <v>1006</v>
      </c>
      <c r="D94" s="1">
        <v>0</v>
      </c>
      <c r="E94" s="1"/>
      <c r="F94" s="1"/>
      <c r="G94" s="1"/>
      <c r="H94" s="1"/>
      <c r="I94" s="1" t="s">
        <v>345</v>
      </c>
      <c r="J94" s="1" t="s">
        <v>345</v>
      </c>
    </row>
    <row r="95" spans="1:10" x14ac:dyDescent="0.25">
      <c r="A95" s="1" t="s">
        <v>630</v>
      </c>
      <c r="B95" s="1">
        <v>0</v>
      </c>
      <c r="C95" s="1" t="s">
        <v>1006</v>
      </c>
      <c r="D95" s="1">
        <v>0</v>
      </c>
      <c r="E95" s="1"/>
      <c r="F95" s="1"/>
      <c r="G95" s="1"/>
      <c r="H95" s="1"/>
      <c r="I95" s="1" t="s">
        <v>345</v>
      </c>
      <c r="J95" s="1" t="s">
        <v>345</v>
      </c>
    </row>
    <row r="96" spans="1:10" x14ac:dyDescent="0.25">
      <c r="A96" s="1" t="s">
        <v>631</v>
      </c>
      <c r="B96" s="1">
        <v>0</v>
      </c>
      <c r="C96" s="1" t="s">
        <v>1006</v>
      </c>
      <c r="D96" s="1">
        <v>0</v>
      </c>
      <c r="E96" s="1"/>
      <c r="F96" s="1"/>
      <c r="G96" s="1"/>
      <c r="H96" s="1"/>
      <c r="I96" s="1" t="s">
        <v>345</v>
      </c>
      <c r="J96" s="1" t="s">
        <v>345</v>
      </c>
    </row>
    <row r="97" spans="1:10" x14ac:dyDescent="0.25">
      <c r="A97" s="1" t="s">
        <v>632</v>
      </c>
      <c r="B97" s="1">
        <v>0</v>
      </c>
      <c r="C97" s="1" t="s">
        <v>1006</v>
      </c>
      <c r="D97" s="1">
        <v>0</v>
      </c>
      <c r="E97" s="1"/>
      <c r="F97" s="1"/>
      <c r="G97" s="1"/>
      <c r="H97" s="1"/>
      <c r="I97" s="1" t="s">
        <v>345</v>
      </c>
      <c r="J97" s="1" t="s">
        <v>345</v>
      </c>
    </row>
    <row r="98" spans="1:10" x14ac:dyDescent="0.25">
      <c r="A98" s="1" t="s">
        <v>633</v>
      </c>
      <c r="B98" s="1">
        <v>0</v>
      </c>
      <c r="C98" s="1" t="s">
        <v>1006</v>
      </c>
      <c r="D98" s="1">
        <v>0</v>
      </c>
      <c r="E98" s="1"/>
      <c r="F98" s="1"/>
      <c r="G98" s="1"/>
      <c r="H98" s="1"/>
      <c r="I98" s="1" t="s">
        <v>345</v>
      </c>
      <c r="J98" s="1" t="s">
        <v>345</v>
      </c>
    </row>
    <row r="99" spans="1:10" x14ac:dyDescent="0.25">
      <c r="A99" s="1" t="s">
        <v>634</v>
      </c>
      <c r="B99" s="1">
        <v>0</v>
      </c>
      <c r="C99" s="1" t="s">
        <v>1006</v>
      </c>
      <c r="D99" s="1">
        <v>0</v>
      </c>
      <c r="E99" s="1"/>
      <c r="F99" s="1"/>
      <c r="G99" s="1"/>
      <c r="H99" s="1"/>
      <c r="I99" s="1" t="s">
        <v>345</v>
      </c>
      <c r="J99" s="1" t="s">
        <v>345</v>
      </c>
    </row>
    <row r="100" spans="1:10" x14ac:dyDescent="0.25">
      <c r="A100" s="1" t="s">
        <v>635</v>
      </c>
      <c r="B100" s="1">
        <v>0</v>
      </c>
      <c r="C100" s="1" t="s">
        <v>1006</v>
      </c>
      <c r="D100" s="1">
        <v>0</v>
      </c>
      <c r="E100" s="1"/>
      <c r="F100" s="1"/>
      <c r="G100" s="1"/>
      <c r="H100" s="1"/>
      <c r="I100" s="1" t="s">
        <v>345</v>
      </c>
      <c r="J100" s="1" t="s">
        <v>345</v>
      </c>
    </row>
    <row r="101" spans="1:10" x14ac:dyDescent="0.25">
      <c r="A101" s="1" t="s">
        <v>636</v>
      </c>
      <c r="B101" s="1">
        <v>0</v>
      </c>
      <c r="C101" s="1" t="s">
        <v>1006</v>
      </c>
      <c r="D101" s="1">
        <v>0</v>
      </c>
      <c r="E101" s="1"/>
      <c r="F101" s="1"/>
      <c r="G101" s="1"/>
      <c r="H101" s="1"/>
      <c r="I101" s="1" t="s">
        <v>345</v>
      </c>
      <c r="J101" s="1" t="s">
        <v>345</v>
      </c>
    </row>
    <row r="102" spans="1:10" x14ac:dyDescent="0.25">
      <c r="A102" s="1" t="s">
        <v>637</v>
      </c>
      <c r="B102" s="1">
        <v>0</v>
      </c>
      <c r="C102" s="1" t="s">
        <v>1006</v>
      </c>
      <c r="D102" s="1">
        <v>0</v>
      </c>
      <c r="E102" s="1"/>
      <c r="F102" s="1"/>
      <c r="G102" s="1"/>
      <c r="H102" s="1"/>
      <c r="I102" s="1" t="s">
        <v>345</v>
      </c>
      <c r="J102" s="1" t="s">
        <v>345</v>
      </c>
    </row>
    <row r="103" spans="1:10" x14ac:dyDescent="0.25">
      <c r="A103" s="1" t="s">
        <v>638</v>
      </c>
      <c r="B103" s="1">
        <v>0</v>
      </c>
      <c r="C103" s="1" t="s">
        <v>1006</v>
      </c>
      <c r="D103" s="1">
        <v>0</v>
      </c>
      <c r="E103" s="1"/>
      <c r="F103" s="1"/>
      <c r="G103" s="1"/>
      <c r="H103" s="1"/>
      <c r="I103" s="1" t="s">
        <v>345</v>
      </c>
      <c r="J103" s="1" t="s">
        <v>345</v>
      </c>
    </row>
    <row r="104" spans="1:10" x14ac:dyDescent="0.25">
      <c r="A104" s="1" t="s">
        <v>639</v>
      </c>
      <c r="B104" s="1">
        <v>0</v>
      </c>
      <c r="C104" s="1" t="s">
        <v>1006</v>
      </c>
      <c r="D104" s="1">
        <v>0</v>
      </c>
      <c r="E104" s="1"/>
      <c r="F104" s="1"/>
      <c r="G104" s="1"/>
      <c r="H104" s="1"/>
      <c r="I104" s="1" t="s">
        <v>345</v>
      </c>
      <c r="J104" s="1" t="s">
        <v>345</v>
      </c>
    </row>
    <row r="105" spans="1:10" x14ac:dyDescent="0.25">
      <c r="A105" s="1" t="s">
        <v>640</v>
      </c>
      <c r="B105" s="1">
        <v>0</v>
      </c>
      <c r="C105" s="1" t="s">
        <v>1006</v>
      </c>
      <c r="D105" s="1">
        <v>0</v>
      </c>
      <c r="E105" s="1"/>
      <c r="F105" s="1"/>
      <c r="G105" s="1"/>
      <c r="H105" s="1"/>
      <c r="I105" s="1" t="s">
        <v>345</v>
      </c>
      <c r="J105" s="1" t="s">
        <v>345</v>
      </c>
    </row>
    <row r="106" spans="1:10" x14ac:dyDescent="0.25">
      <c r="A106" s="1" t="s">
        <v>641</v>
      </c>
      <c r="B106" s="1">
        <v>0</v>
      </c>
      <c r="C106" s="1" t="s">
        <v>1006</v>
      </c>
      <c r="D106" s="1">
        <v>0</v>
      </c>
      <c r="E106" s="1"/>
      <c r="F106" s="1"/>
      <c r="G106" s="1"/>
      <c r="H106" s="1"/>
      <c r="I106" s="1" t="s">
        <v>345</v>
      </c>
      <c r="J106" s="1" t="s">
        <v>345</v>
      </c>
    </row>
    <row r="107" spans="1:10" x14ac:dyDescent="0.25">
      <c r="A107" s="1" t="s">
        <v>642</v>
      </c>
      <c r="B107" s="1">
        <v>0</v>
      </c>
      <c r="C107" s="1" t="s">
        <v>1006</v>
      </c>
      <c r="D107" s="1">
        <v>0</v>
      </c>
      <c r="E107" s="1"/>
      <c r="F107" s="1"/>
      <c r="G107" s="1"/>
      <c r="H107" s="1"/>
      <c r="I107" s="1" t="s">
        <v>345</v>
      </c>
      <c r="J107" s="1" t="s">
        <v>345</v>
      </c>
    </row>
    <row r="108" spans="1:10" x14ac:dyDescent="0.25">
      <c r="A108" s="1" t="s">
        <v>643</v>
      </c>
      <c r="B108" s="1">
        <v>0</v>
      </c>
      <c r="C108" s="1" t="s">
        <v>1006</v>
      </c>
      <c r="D108" s="1">
        <v>0</v>
      </c>
      <c r="E108" s="1"/>
      <c r="F108" s="1"/>
      <c r="G108" s="1"/>
      <c r="H108" s="1"/>
      <c r="I108" s="1" t="s">
        <v>345</v>
      </c>
      <c r="J108" s="1" t="s">
        <v>345</v>
      </c>
    </row>
  </sheetData>
  <autoFilter ref="D15:D108" xr:uid="{C84E7277-42BC-44FE-B5A2-442E51D71BCE}"/>
  <sortState xmlns:xlrd2="http://schemas.microsoft.com/office/spreadsheetml/2017/richdata2" ref="A130:B153">
    <sortCondition ref="A130:A153"/>
  </sortState>
  <mergeCells count="3">
    <mergeCell ref="B14:D14"/>
    <mergeCell ref="B8:C8"/>
    <mergeCell ref="B11:C11"/>
  </mergeCells>
  <conditionalFormatting sqref="D16:D36">
    <cfRule type="cellIs" dxfId="70" priority="1" operator="equal">
      <formula>"not original"</formula>
    </cfRule>
    <cfRule type="cellIs" dxfId="69" priority="2" operator="equal">
      <formula>"original"</formula>
    </cfRule>
  </conditionalFormatting>
  <conditionalFormatting sqref="E16:E36 E37:F108">
    <cfRule type="cellIs" dxfId="68" priority="26" operator="equal">
      <formula>$A$10</formula>
    </cfRule>
    <cfRule type="cellIs" dxfId="67" priority="27" operator="equal">
      <formula>$A$9</formula>
    </cfRule>
  </conditionalFormatting>
  <conditionalFormatting sqref="G16:G108">
    <cfRule type="cellIs" dxfId="66" priority="24" operator="equal">
      <formula>$A$7</formula>
    </cfRule>
    <cfRule type="cellIs" dxfId="65" priority="25" operator="equal">
      <formula>$A$6</formula>
    </cfRule>
  </conditionalFormatting>
  <conditionalFormatting sqref="I16:I108">
    <cfRule type="cellIs" dxfId="64" priority="21" operator="equal">
      <formula>$A$2</formula>
    </cfRule>
    <cfRule type="cellIs" dxfId="63" priority="22" operator="equal">
      <formula>$A$3</formula>
    </cfRule>
    <cfRule type="cellIs" dxfId="62" priority="23" operator="equal">
      <formula>"agree"</formula>
    </cfRule>
  </conditionalFormatting>
  <conditionalFormatting sqref="I16:J108">
    <cfRule type="cellIs" dxfId="61" priority="16" operator="equal">
      <formula>$A$3</formula>
    </cfRule>
  </conditionalFormatting>
  <conditionalFormatting sqref="J16:J108">
    <cfRule type="cellIs" dxfId="60" priority="14" operator="equal">
      <formula>$B$3</formula>
    </cfRule>
    <cfRule type="cellIs" dxfId="59" priority="15" operator="equal">
      <formula>$B$3</formula>
    </cfRule>
    <cfRule type="cellIs" dxfId="58" priority="19" operator="equal">
      <formula>$B$2</formula>
    </cfRule>
  </conditionalFormatting>
  <dataValidations count="5">
    <dataValidation type="list" allowBlank="1" showInputMessage="1" showErrorMessage="1" sqref="E16:E108 F37:F108" xr:uid="{5DE5DB37-F4C1-4FC8-9AD2-B5D5B88B5274}">
      <formula1>$A$9:$A$10</formula1>
    </dataValidation>
    <dataValidation type="list" allowBlank="1" showInputMessage="1" showErrorMessage="1" sqref="G16:G108" xr:uid="{BF68C2F1-B716-4039-8E52-B99254CD2886}">
      <formula1>$A$6:$A$7</formula1>
    </dataValidation>
    <dataValidation type="list" allowBlank="1" showInputMessage="1" showErrorMessage="1" sqref="J16:J108" xr:uid="{8E3EC2B6-707B-482E-91DF-296906A62E79}">
      <formula1>$B$2:$B$4</formula1>
    </dataValidation>
    <dataValidation type="list" allowBlank="1" showInputMessage="1" showErrorMessage="1" sqref="I16:I108" xr:uid="{B1CA0529-311F-4CFB-A222-453D9A7DCE6C}">
      <formula1>$A$2:$A$4</formula1>
    </dataValidation>
    <dataValidation type="list" allowBlank="1" showInputMessage="1" showErrorMessage="1" sqref="F16:F36" xr:uid="{9E38794E-A286-48C1-9520-EB0CD8FAEEEA}">
      <formula1>$F$2:$F$11</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EB5A0-DA26-4A1A-B8AE-D58EEB26AA7D}">
  <dimension ref="A1:M96"/>
  <sheetViews>
    <sheetView workbookViewId="0">
      <selection activeCell="A5" sqref="A5:C13"/>
    </sheetView>
  </sheetViews>
  <sheetFormatPr defaultRowHeight="15" x14ac:dyDescent="0.25"/>
  <cols>
    <col min="1" max="1" width="40.28515625" bestFit="1" customWidth="1"/>
    <col min="2" max="2" width="19.5703125" bestFit="1" customWidth="1"/>
    <col min="3" max="3" width="13.5703125" customWidth="1"/>
    <col min="4" max="4" width="37" customWidth="1"/>
    <col min="5" max="5" width="16.42578125" bestFit="1" customWidth="1"/>
    <col min="6" max="6" width="16.42578125" customWidth="1"/>
    <col min="7" max="7" width="18.5703125" bestFit="1" customWidth="1"/>
    <col min="10" max="10" width="20.5703125" customWidth="1"/>
  </cols>
  <sheetData>
    <row r="1" spans="1:10" ht="17.25" thickBot="1" x14ac:dyDescent="0.3">
      <c r="A1" s="9" t="s">
        <v>36</v>
      </c>
      <c r="B1" s="9" t="s">
        <v>338</v>
      </c>
      <c r="C1" s="3"/>
      <c r="E1" s="2"/>
      <c r="F1" s="5" t="s">
        <v>37</v>
      </c>
    </row>
    <row r="2" spans="1:10" ht="17.25" thickBot="1" x14ac:dyDescent="0.3">
      <c r="A2" s="1" t="s">
        <v>38</v>
      </c>
      <c r="B2" s="11" t="s">
        <v>41</v>
      </c>
      <c r="C2" s="4" t="s">
        <v>43</v>
      </c>
      <c r="F2" s="21" t="s">
        <v>893</v>
      </c>
    </row>
    <row r="3" spans="1:10" ht="17.25" thickBot="1" x14ac:dyDescent="0.3">
      <c r="A3" s="1" t="s">
        <v>39</v>
      </c>
      <c r="B3" s="11" t="s">
        <v>42</v>
      </c>
      <c r="C3" s="4" t="s">
        <v>44</v>
      </c>
      <c r="F3" s="22" t="s">
        <v>894</v>
      </c>
    </row>
    <row r="4" spans="1:10" ht="17.25" thickBot="1" x14ac:dyDescent="0.3">
      <c r="A4" s="1" t="s">
        <v>345</v>
      </c>
      <c r="B4" s="1" t="s">
        <v>345</v>
      </c>
      <c r="C4" s="4"/>
      <c r="F4" s="22" t="s">
        <v>758</v>
      </c>
    </row>
    <row r="5" spans="1:10" ht="17.25" thickBot="1" x14ac:dyDescent="0.3">
      <c r="A5" s="5" t="s">
        <v>47</v>
      </c>
      <c r="B5" s="4" t="s">
        <v>1340</v>
      </c>
      <c r="C5" s="1"/>
      <c r="F5" s="22" t="s">
        <v>759</v>
      </c>
    </row>
    <row r="6" spans="1:10" ht="17.25" thickBot="1" x14ac:dyDescent="0.3">
      <c r="A6" s="1" t="s">
        <v>339</v>
      </c>
      <c r="B6" s="4" t="s">
        <v>343</v>
      </c>
      <c r="C6" s="1"/>
      <c r="F6" s="22" t="s">
        <v>895</v>
      </c>
    </row>
    <row r="7" spans="1:10" ht="17.25" thickBot="1" x14ac:dyDescent="0.3">
      <c r="A7" s="1" t="s">
        <v>340</v>
      </c>
      <c r="B7" s="4" t="s">
        <v>344</v>
      </c>
      <c r="C7" s="1"/>
      <c r="F7" s="22" t="s">
        <v>752</v>
      </c>
    </row>
    <row r="8" spans="1:10" ht="15.75" thickBot="1" x14ac:dyDescent="0.3">
      <c r="A8" s="5" t="s">
        <v>341</v>
      </c>
      <c r="B8" s="41" t="s">
        <v>1338</v>
      </c>
      <c r="C8" s="42"/>
      <c r="F8" s="22" t="s">
        <v>896</v>
      </c>
    </row>
    <row r="9" spans="1:10" ht="15.75" thickBot="1" x14ac:dyDescent="0.3">
      <c r="A9" s="1" t="s">
        <v>53</v>
      </c>
      <c r="B9" s="1" t="s">
        <v>1334</v>
      </c>
      <c r="C9" s="1"/>
      <c r="F9" s="22" t="s">
        <v>897</v>
      </c>
    </row>
    <row r="10" spans="1:10" ht="15.75" thickBot="1" x14ac:dyDescent="0.3">
      <c r="A10" s="10" t="s">
        <v>166</v>
      </c>
      <c r="B10" s="10" t="s">
        <v>1335</v>
      </c>
      <c r="C10" s="10"/>
      <c r="F10" s="22" t="s">
        <v>898</v>
      </c>
    </row>
    <row r="11" spans="1:10" ht="15.75" thickBot="1" x14ac:dyDescent="0.3">
      <c r="A11" s="5" t="s">
        <v>346</v>
      </c>
      <c r="B11" s="41" t="s">
        <v>1339</v>
      </c>
      <c r="C11" s="43"/>
      <c r="F11" s="22" t="s">
        <v>899</v>
      </c>
    </row>
    <row r="12" spans="1:10" x14ac:dyDescent="0.25">
      <c r="A12" s="1" t="s">
        <v>645</v>
      </c>
      <c r="B12" s="1" t="s">
        <v>1336</v>
      </c>
      <c r="C12" s="1"/>
      <c r="D12" s="32"/>
    </row>
    <row r="13" spans="1:10" x14ac:dyDescent="0.25">
      <c r="A13" s="1" t="s">
        <v>644</v>
      </c>
      <c r="B13" s="1" t="s">
        <v>1337</v>
      </c>
      <c r="C13" s="1"/>
      <c r="D13" s="32"/>
    </row>
    <row r="14" spans="1:10" ht="60" customHeight="1" x14ac:dyDescent="0.25">
      <c r="A14" s="8" t="s">
        <v>84</v>
      </c>
      <c r="B14" s="40" t="s">
        <v>167</v>
      </c>
      <c r="C14" s="40"/>
      <c r="D14" s="40"/>
      <c r="E14" s="8" t="s">
        <v>45</v>
      </c>
      <c r="F14" s="8"/>
      <c r="G14" s="1"/>
    </row>
    <row r="15" spans="1:10" x14ac:dyDescent="0.25">
      <c r="A15" s="5" t="s">
        <v>46</v>
      </c>
      <c r="B15" s="5" t="s">
        <v>650</v>
      </c>
      <c r="C15" s="5" t="s">
        <v>651</v>
      </c>
      <c r="D15" s="5" t="s">
        <v>346</v>
      </c>
      <c r="E15" s="5" t="s">
        <v>35</v>
      </c>
      <c r="F15" s="5" t="s">
        <v>37</v>
      </c>
      <c r="G15" s="5" t="s">
        <v>47</v>
      </c>
      <c r="H15" s="5" t="s">
        <v>37</v>
      </c>
      <c r="I15" s="9" t="s">
        <v>36</v>
      </c>
      <c r="J15" s="9" t="s">
        <v>338</v>
      </c>
    </row>
    <row r="16" spans="1:10" x14ac:dyDescent="0.25">
      <c r="A16" s="1" t="s">
        <v>699</v>
      </c>
      <c r="B16" s="14">
        <v>17</v>
      </c>
      <c r="C16" s="18">
        <f>(B16/SUM(B$16:B$94))*100</f>
        <v>12.5</v>
      </c>
      <c r="D16" s="1" t="s">
        <v>644</v>
      </c>
      <c r="E16" s="1" t="s">
        <v>53</v>
      </c>
      <c r="F16" s="1" t="s">
        <v>755</v>
      </c>
      <c r="G16" s="1" t="s">
        <v>340</v>
      </c>
      <c r="H16" s="1" t="s">
        <v>54</v>
      </c>
      <c r="I16" s="1" t="s">
        <v>345</v>
      </c>
      <c r="J16" s="1" t="s">
        <v>345</v>
      </c>
    </row>
    <row r="17" spans="1:10" x14ac:dyDescent="0.25">
      <c r="A17" s="1" t="s">
        <v>700</v>
      </c>
      <c r="B17" s="14">
        <v>10</v>
      </c>
      <c r="C17" s="18">
        <f t="shared" ref="C17:D80" si="0">(B17/SUM(B$16:B$94))*100</f>
        <v>7.3529411764705888</v>
      </c>
      <c r="D17" s="1" t="s">
        <v>644</v>
      </c>
      <c r="E17" s="1" t="s">
        <v>53</v>
      </c>
      <c r="F17" s="1" t="s">
        <v>755</v>
      </c>
      <c r="G17" s="1" t="s">
        <v>340</v>
      </c>
      <c r="H17" s="1" t="s">
        <v>55</v>
      </c>
      <c r="I17" s="1" t="s">
        <v>345</v>
      </c>
      <c r="J17" s="1" t="s">
        <v>345</v>
      </c>
    </row>
    <row r="18" spans="1:10" x14ac:dyDescent="0.25">
      <c r="A18" s="1" t="s">
        <v>701</v>
      </c>
      <c r="B18" s="14">
        <v>10</v>
      </c>
      <c r="C18" s="18">
        <f t="shared" si="0"/>
        <v>7.3529411764705888</v>
      </c>
      <c r="D18" s="1" t="s">
        <v>644</v>
      </c>
      <c r="E18" s="1" t="s">
        <v>53</v>
      </c>
      <c r="F18" s="1" t="s">
        <v>755</v>
      </c>
      <c r="G18" s="1" t="s">
        <v>340</v>
      </c>
      <c r="H18" s="1" t="s">
        <v>56</v>
      </c>
      <c r="I18" s="1" t="s">
        <v>345</v>
      </c>
      <c r="J18" s="1" t="s">
        <v>345</v>
      </c>
    </row>
    <row r="19" spans="1:10" x14ac:dyDescent="0.25">
      <c r="A19" s="1" t="s">
        <v>702</v>
      </c>
      <c r="B19" s="14">
        <v>10</v>
      </c>
      <c r="C19" s="18">
        <f t="shared" si="0"/>
        <v>7.3529411764705888</v>
      </c>
      <c r="D19" s="1" t="s">
        <v>645</v>
      </c>
      <c r="E19" s="1" t="s">
        <v>53</v>
      </c>
      <c r="F19" s="1" t="s">
        <v>755</v>
      </c>
      <c r="G19" s="1" t="s">
        <v>340</v>
      </c>
      <c r="H19" s="1" t="s">
        <v>57</v>
      </c>
      <c r="I19" s="1" t="s">
        <v>345</v>
      </c>
      <c r="J19" s="1" t="s">
        <v>345</v>
      </c>
    </row>
    <row r="20" spans="1:10" x14ac:dyDescent="0.25">
      <c r="A20" s="1" t="s">
        <v>703</v>
      </c>
      <c r="B20" s="14">
        <v>9</v>
      </c>
      <c r="C20" s="18">
        <f t="shared" si="0"/>
        <v>6.6176470588235299</v>
      </c>
      <c r="D20" s="1" t="s">
        <v>645</v>
      </c>
      <c r="E20" s="1" t="s">
        <v>53</v>
      </c>
      <c r="F20" s="1" t="s">
        <v>755</v>
      </c>
      <c r="G20" s="1" t="s">
        <v>340</v>
      </c>
      <c r="H20" s="1" t="s">
        <v>58</v>
      </c>
      <c r="I20" s="1" t="s">
        <v>345</v>
      </c>
      <c r="J20" s="1" t="s">
        <v>345</v>
      </c>
    </row>
    <row r="21" spans="1:10" x14ac:dyDescent="0.25">
      <c r="A21" s="1" t="s">
        <v>704</v>
      </c>
      <c r="B21" s="14">
        <v>7</v>
      </c>
      <c r="C21" s="18">
        <f t="shared" si="0"/>
        <v>5.1470588235294112</v>
      </c>
      <c r="D21" s="1" t="s">
        <v>645</v>
      </c>
      <c r="E21" s="1" t="s">
        <v>53</v>
      </c>
      <c r="F21" s="1" t="s">
        <v>755</v>
      </c>
      <c r="G21" s="1" t="s">
        <v>340</v>
      </c>
      <c r="H21" s="1" t="s">
        <v>59</v>
      </c>
      <c r="I21" s="1" t="s">
        <v>345</v>
      </c>
      <c r="J21" s="1" t="s">
        <v>345</v>
      </c>
    </row>
    <row r="22" spans="1:10" x14ac:dyDescent="0.25">
      <c r="A22" s="1" t="s">
        <v>705</v>
      </c>
      <c r="B22" s="14">
        <v>7</v>
      </c>
      <c r="C22" s="18">
        <f t="shared" si="0"/>
        <v>5.1470588235294112</v>
      </c>
      <c r="D22" s="1" t="s">
        <v>645</v>
      </c>
      <c r="E22" s="1" t="s">
        <v>53</v>
      </c>
      <c r="F22" s="1" t="s">
        <v>755</v>
      </c>
      <c r="G22" s="1" t="s">
        <v>340</v>
      </c>
      <c r="H22" s="1" t="s">
        <v>60</v>
      </c>
      <c r="I22" s="1" t="s">
        <v>345</v>
      </c>
      <c r="J22" s="1" t="s">
        <v>345</v>
      </c>
    </row>
    <row r="23" spans="1:10" x14ac:dyDescent="0.25">
      <c r="A23" s="1" t="s">
        <v>706</v>
      </c>
      <c r="B23" s="14">
        <v>6</v>
      </c>
      <c r="C23" s="18">
        <f t="shared" si="0"/>
        <v>4.4117647058823533</v>
      </c>
      <c r="D23" s="1" t="s">
        <v>644</v>
      </c>
      <c r="E23" s="1" t="s">
        <v>53</v>
      </c>
      <c r="F23" s="1" t="s">
        <v>755</v>
      </c>
      <c r="G23" s="1" t="s">
        <v>340</v>
      </c>
      <c r="H23" s="1" t="s">
        <v>61</v>
      </c>
      <c r="I23" s="1" t="s">
        <v>345</v>
      </c>
      <c r="J23" s="1" t="s">
        <v>345</v>
      </c>
    </row>
    <row r="24" spans="1:10" x14ac:dyDescent="0.25">
      <c r="A24" s="1" t="s">
        <v>707</v>
      </c>
      <c r="B24" s="14">
        <v>6</v>
      </c>
      <c r="C24" s="18">
        <f t="shared" si="0"/>
        <v>4.4117647058823533</v>
      </c>
      <c r="D24" s="1" t="s">
        <v>644</v>
      </c>
      <c r="E24" s="1" t="s">
        <v>166</v>
      </c>
      <c r="F24" s="1" t="s">
        <v>759</v>
      </c>
      <c r="G24" s="1" t="s">
        <v>340</v>
      </c>
      <c r="H24" s="1" t="s">
        <v>62</v>
      </c>
      <c r="I24" s="1" t="s">
        <v>345</v>
      </c>
      <c r="J24" s="1" t="s">
        <v>345</v>
      </c>
    </row>
    <row r="25" spans="1:10" x14ac:dyDescent="0.25">
      <c r="A25" s="1" t="s">
        <v>708</v>
      </c>
      <c r="B25" s="15">
        <v>6</v>
      </c>
      <c r="C25" s="18">
        <f t="shared" si="0"/>
        <v>4.4117647058823533</v>
      </c>
      <c r="D25" s="1" t="s">
        <v>645</v>
      </c>
      <c r="E25" s="1" t="s">
        <v>53</v>
      </c>
      <c r="F25" s="1" t="s">
        <v>755</v>
      </c>
      <c r="G25" s="1" t="s">
        <v>340</v>
      </c>
      <c r="H25" s="1" t="s">
        <v>63</v>
      </c>
      <c r="I25" s="1" t="s">
        <v>345</v>
      </c>
      <c r="J25" s="1" t="s">
        <v>345</v>
      </c>
    </row>
    <row r="26" spans="1:10" x14ac:dyDescent="0.25">
      <c r="A26" s="1" t="s">
        <v>709</v>
      </c>
      <c r="B26" s="15">
        <v>6</v>
      </c>
      <c r="C26" s="18">
        <f t="shared" si="0"/>
        <v>4.4117647058823533</v>
      </c>
      <c r="D26" s="1" t="s">
        <v>644</v>
      </c>
      <c r="E26" s="1" t="s">
        <v>53</v>
      </c>
      <c r="F26" s="1" t="s">
        <v>755</v>
      </c>
      <c r="G26" s="1" t="s">
        <v>340</v>
      </c>
      <c r="H26" s="1" t="s">
        <v>64</v>
      </c>
      <c r="I26" s="1" t="s">
        <v>345</v>
      </c>
      <c r="J26" s="1" t="s">
        <v>345</v>
      </c>
    </row>
    <row r="27" spans="1:10" x14ac:dyDescent="0.25">
      <c r="A27" s="1" t="s">
        <v>710</v>
      </c>
      <c r="B27" s="15">
        <v>5</v>
      </c>
      <c r="C27" s="18">
        <f t="shared" si="0"/>
        <v>3.6764705882352944</v>
      </c>
      <c r="D27" s="1" t="s">
        <v>645</v>
      </c>
      <c r="E27" s="1" t="s">
        <v>53</v>
      </c>
      <c r="F27" s="1" t="s">
        <v>755</v>
      </c>
      <c r="G27" s="1" t="s">
        <v>340</v>
      </c>
      <c r="H27" s="1" t="s">
        <v>65</v>
      </c>
      <c r="I27" s="1" t="s">
        <v>345</v>
      </c>
      <c r="J27" s="1" t="s">
        <v>345</v>
      </c>
    </row>
    <row r="28" spans="1:10" x14ac:dyDescent="0.25">
      <c r="A28" s="1" t="s">
        <v>711</v>
      </c>
      <c r="B28" s="15">
        <v>4</v>
      </c>
      <c r="C28" s="18">
        <f t="shared" si="0"/>
        <v>2.9411764705882351</v>
      </c>
      <c r="D28" s="1" t="s">
        <v>645</v>
      </c>
      <c r="E28" s="1" t="s">
        <v>53</v>
      </c>
      <c r="F28" s="1" t="s">
        <v>755</v>
      </c>
      <c r="G28" s="1" t="s">
        <v>340</v>
      </c>
      <c r="H28" s="1" t="s">
        <v>66</v>
      </c>
      <c r="I28" s="1" t="s">
        <v>345</v>
      </c>
      <c r="J28" s="1" t="s">
        <v>345</v>
      </c>
    </row>
    <row r="29" spans="1:10" x14ac:dyDescent="0.25">
      <c r="A29" s="1" t="s">
        <v>712</v>
      </c>
      <c r="B29" s="15">
        <v>4</v>
      </c>
      <c r="C29" s="18">
        <f t="shared" si="0"/>
        <v>2.9411764705882351</v>
      </c>
      <c r="D29" s="1" t="s">
        <v>644</v>
      </c>
      <c r="E29" s="1" t="s">
        <v>53</v>
      </c>
      <c r="F29" s="1" t="s">
        <v>755</v>
      </c>
      <c r="G29" s="1" t="s">
        <v>340</v>
      </c>
      <c r="H29" s="1" t="s">
        <v>67</v>
      </c>
      <c r="I29" s="1" t="s">
        <v>345</v>
      </c>
      <c r="J29" s="1" t="s">
        <v>345</v>
      </c>
    </row>
    <row r="30" spans="1:10" x14ac:dyDescent="0.25">
      <c r="A30" s="1" t="s">
        <v>713</v>
      </c>
      <c r="B30" s="15">
        <v>4</v>
      </c>
      <c r="C30" s="18">
        <f t="shared" si="0"/>
        <v>2.9411764705882351</v>
      </c>
      <c r="D30" s="1" t="s">
        <v>645</v>
      </c>
      <c r="E30" s="1" t="s">
        <v>53</v>
      </c>
      <c r="F30" s="1" t="s">
        <v>755</v>
      </c>
      <c r="G30" s="1" t="s">
        <v>340</v>
      </c>
      <c r="H30" s="1" t="s">
        <v>68</v>
      </c>
      <c r="I30" s="1" t="s">
        <v>345</v>
      </c>
      <c r="J30" s="1" t="s">
        <v>345</v>
      </c>
    </row>
    <row r="31" spans="1:10" x14ac:dyDescent="0.25">
      <c r="A31" s="1" t="s">
        <v>714</v>
      </c>
      <c r="B31" s="15">
        <v>4</v>
      </c>
      <c r="C31" s="18">
        <f t="shared" si="0"/>
        <v>2.9411764705882351</v>
      </c>
      <c r="D31" s="1" t="s">
        <v>645</v>
      </c>
      <c r="E31" s="1" t="s">
        <v>53</v>
      </c>
      <c r="F31" s="1" t="s">
        <v>755</v>
      </c>
      <c r="G31" s="1" t="s">
        <v>340</v>
      </c>
      <c r="H31" s="1" t="s">
        <v>69</v>
      </c>
      <c r="I31" s="1" t="s">
        <v>345</v>
      </c>
      <c r="J31" s="1" t="s">
        <v>345</v>
      </c>
    </row>
    <row r="32" spans="1:10" x14ac:dyDescent="0.25">
      <c r="A32" s="1" t="s">
        <v>715</v>
      </c>
      <c r="B32" s="15">
        <v>3</v>
      </c>
      <c r="C32" s="18">
        <f t="shared" si="0"/>
        <v>2.2058823529411766</v>
      </c>
      <c r="D32" s="1" t="s">
        <v>644</v>
      </c>
      <c r="E32" s="1" t="s">
        <v>53</v>
      </c>
      <c r="F32" s="1" t="s">
        <v>755</v>
      </c>
      <c r="G32" s="1" t="s">
        <v>340</v>
      </c>
      <c r="H32" s="1" t="s">
        <v>70</v>
      </c>
      <c r="I32" s="1" t="s">
        <v>345</v>
      </c>
      <c r="J32" s="1" t="s">
        <v>345</v>
      </c>
    </row>
    <row r="33" spans="1:10" x14ac:dyDescent="0.25">
      <c r="A33" s="1" t="s">
        <v>716</v>
      </c>
      <c r="B33" s="16">
        <v>3</v>
      </c>
      <c r="C33" s="18">
        <f t="shared" si="0"/>
        <v>2.2058823529411766</v>
      </c>
      <c r="D33" s="1" t="s">
        <v>644</v>
      </c>
      <c r="E33" s="1" t="s">
        <v>53</v>
      </c>
      <c r="F33" s="1" t="s">
        <v>755</v>
      </c>
      <c r="G33" s="1" t="s">
        <v>340</v>
      </c>
      <c r="H33" s="1" t="s">
        <v>71</v>
      </c>
      <c r="I33" s="1" t="s">
        <v>345</v>
      </c>
      <c r="J33" s="1" t="s">
        <v>345</v>
      </c>
    </row>
    <row r="34" spans="1:10" x14ac:dyDescent="0.25">
      <c r="A34" s="1" t="s">
        <v>717</v>
      </c>
      <c r="B34" s="16">
        <v>2</v>
      </c>
      <c r="C34" s="18">
        <f t="shared" si="0"/>
        <v>1.4705882352941175</v>
      </c>
      <c r="D34" s="1" t="s">
        <v>644</v>
      </c>
      <c r="E34" s="1" t="s">
        <v>53</v>
      </c>
      <c r="F34" s="1" t="s">
        <v>755</v>
      </c>
      <c r="G34" s="1" t="s">
        <v>340</v>
      </c>
      <c r="H34" s="1" t="s">
        <v>72</v>
      </c>
      <c r="I34" s="1" t="s">
        <v>345</v>
      </c>
      <c r="J34" s="1" t="s">
        <v>345</v>
      </c>
    </row>
    <row r="35" spans="1:10" x14ac:dyDescent="0.25">
      <c r="A35" s="1" t="s">
        <v>718</v>
      </c>
      <c r="B35" s="16">
        <v>1</v>
      </c>
      <c r="C35" s="18">
        <f t="shared" si="0"/>
        <v>0.73529411764705876</v>
      </c>
      <c r="D35" s="1" t="s">
        <v>645</v>
      </c>
      <c r="E35" s="1" t="s">
        <v>53</v>
      </c>
      <c r="F35" s="1" t="s">
        <v>755</v>
      </c>
      <c r="G35" s="1" t="s">
        <v>340</v>
      </c>
      <c r="H35" s="1" t="s">
        <v>73</v>
      </c>
      <c r="I35" s="1" t="s">
        <v>345</v>
      </c>
      <c r="J35" s="1" t="s">
        <v>345</v>
      </c>
    </row>
    <row r="36" spans="1:10" x14ac:dyDescent="0.25">
      <c r="A36" s="1" t="s">
        <v>719</v>
      </c>
      <c r="B36" s="16">
        <v>1</v>
      </c>
      <c r="C36" s="18">
        <f t="shared" si="0"/>
        <v>0.73529411764705876</v>
      </c>
      <c r="D36" s="1" t="s">
        <v>644</v>
      </c>
      <c r="E36" s="1" t="s">
        <v>53</v>
      </c>
      <c r="F36" s="1" t="s">
        <v>755</v>
      </c>
      <c r="G36" s="1" t="s">
        <v>340</v>
      </c>
      <c r="H36" s="1" t="s">
        <v>74</v>
      </c>
      <c r="I36" s="1" t="s">
        <v>345</v>
      </c>
      <c r="J36" s="1" t="s">
        <v>345</v>
      </c>
    </row>
    <row r="37" spans="1:10" x14ac:dyDescent="0.25">
      <c r="A37" s="1" t="s">
        <v>720</v>
      </c>
      <c r="B37" s="16">
        <v>1</v>
      </c>
      <c r="C37" s="18">
        <f t="shared" si="0"/>
        <v>0.73529411764705876</v>
      </c>
      <c r="D37" s="1" t="s">
        <v>645</v>
      </c>
      <c r="E37" s="1" t="s">
        <v>53</v>
      </c>
      <c r="F37" s="1" t="s">
        <v>755</v>
      </c>
      <c r="G37" s="1" t="s">
        <v>340</v>
      </c>
      <c r="H37" s="1" t="s">
        <v>75</v>
      </c>
      <c r="I37" s="1" t="s">
        <v>345</v>
      </c>
      <c r="J37" s="1" t="s">
        <v>345</v>
      </c>
    </row>
    <row r="38" spans="1:10" x14ac:dyDescent="0.25">
      <c r="A38" s="1" t="s">
        <v>721</v>
      </c>
      <c r="B38" s="16">
        <v>1</v>
      </c>
      <c r="C38" s="18">
        <f t="shared" si="0"/>
        <v>0.73529411764705876</v>
      </c>
      <c r="D38" s="1" t="s">
        <v>644</v>
      </c>
      <c r="E38" s="1" t="s">
        <v>53</v>
      </c>
      <c r="F38" s="1" t="s">
        <v>755</v>
      </c>
      <c r="G38" s="1" t="s">
        <v>340</v>
      </c>
      <c r="H38" s="1" t="s">
        <v>76</v>
      </c>
      <c r="I38" s="1" t="s">
        <v>345</v>
      </c>
      <c r="J38" s="1" t="s">
        <v>345</v>
      </c>
    </row>
    <row r="39" spans="1:10" x14ac:dyDescent="0.25">
      <c r="A39" s="1" t="s">
        <v>722</v>
      </c>
      <c r="B39" s="16">
        <v>1</v>
      </c>
      <c r="C39" s="18">
        <f t="shared" si="0"/>
        <v>0.73529411764705876</v>
      </c>
      <c r="D39" s="1" t="s">
        <v>645</v>
      </c>
      <c r="E39" s="1" t="s">
        <v>53</v>
      </c>
      <c r="F39" s="1" t="s">
        <v>755</v>
      </c>
      <c r="G39" s="1" t="s">
        <v>340</v>
      </c>
      <c r="H39" s="1" t="s">
        <v>77</v>
      </c>
      <c r="I39" s="1" t="s">
        <v>345</v>
      </c>
      <c r="J39" s="1" t="s">
        <v>345</v>
      </c>
    </row>
    <row r="40" spans="1:10" x14ac:dyDescent="0.25">
      <c r="A40" s="1" t="s">
        <v>723</v>
      </c>
      <c r="B40" s="16">
        <v>1</v>
      </c>
      <c r="C40" s="18">
        <f t="shared" si="0"/>
        <v>0.73529411764705876</v>
      </c>
      <c r="D40" s="1" t="s">
        <v>645</v>
      </c>
      <c r="E40" s="1" t="s">
        <v>53</v>
      </c>
      <c r="F40" s="1" t="s">
        <v>755</v>
      </c>
      <c r="G40" s="1" t="s">
        <v>340</v>
      </c>
      <c r="H40" s="1" t="s">
        <v>78</v>
      </c>
      <c r="I40" s="1" t="s">
        <v>345</v>
      </c>
      <c r="J40" s="1" t="s">
        <v>345</v>
      </c>
    </row>
    <row r="41" spans="1:10" x14ac:dyDescent="0.25">
      <c r="A41" s="1" t="s">
        <v>724</v>
      </c>
      <c r="B41" s="16">
        <v>1</v>
      </c>
      <c r="C41" s="18">
        <f t="shared" si="0"/>
        <v>0.73529411764705876</v>
      </c>
      <c r="D41" s="1" t="s">
        <v>645</v>
      </c>
      <c r="E41" s="1" t="s">
        <v>53</v>
      </c>
      <c r="F41" s="1" t="s">
        <v>755</v>
      </c>
      <c r="G41" s="1" t="s">
        <v>340</v>
      </c>
      <c r="H41" s="1" t="s">
        <v>79</v>
      </c>
      <c r="I41" s="1" t="s">
        <v>345</v>
      </c>
      <c r="J41" s="1" t="s">
        <v>345</v>
      </c>
    </row>
    <row r="42" spans="1:10" x14ac:dyDescent="0.25">
      <c r="A42" s="1" t="s">
        <v>725</v>
      </c>
      <c r="B42" s="16">
        <v>1</v>
      </c>
      <c r="C42" s="18">
        <f t="shared" si="0"/>
        <v>0.73529411764705876</v>
      </c>
      <c r="D42" s="1" t="s">
        <v>644</v>
      </c>
      <c r="E42" s="1" t="s">
        <v>53</v>
      </c>
      <c r="F42" s="1" t="s">
        <v>755</v>
      </c>
      <c r="G42" s="1" t="s">
        <v>340</v>
      </c>
      <c r="H42" s="1" t="s">
        <v>80</v>
      </c>
      <c r="I42" s="1" t="s">
        <v>345</v>
      </c>
      <c r="J42" s="1" t="s">
        <v>345</v>
      </c>
    </row>
    <row r="43" spans="1:10" x14ac:dyDescent="0.25">
      <c r="A43" s="1" t="s">
        <v>726</v>
      </c>
      <c r="B43" s="16">
        <v>1</v>
      </c>
      <c r="C43" s="18">
        <f t="shared" si="0"/>
        <v>0.73529411764705876</v>
      </c>
      <c r="D43" s="1" t="s">
        <v>644</v>
      </c>
      <c r="E43" s="1" t="s">
        <v>53</v>
      </c>
      <c r="F43" s="1" t="s">
        <v>755</v>
      </c>
      <c r="G43" s="1" t="s">
        <v>340</v>
      </c>
      <c r="H43" s="1" t="s">
        <v>81</v>
      </c>
      <c r="I43" s="1" t="s">
        <v>345</v>
      </c>
      <c r="J43" s="1" t="s">
        <v>345</v>
      </c>
    </row>
    <row r="44" spans="1:10" x14ac:dyDescent="0.25">
      <c r="A44" s="1" t="s">
        <v>727</v>
      </c>
      <c r="B44" s="16">
        <v>1</v>
      </c>
      <c r="C44" s="18">
        <f t="shared" si="0"/>
        <v>0.73529411764705876</v>
      </c>
      <c r="D44" s="1" t="s">
        <v>645</v>
      </c>
      <c r="E44" s="1" t="s">
        <v>53</v>
      </c>
      <c r="F44" s="1" t="s">
        <v>755</v>
      </c>
      <c r="G44" s="1" t="s">
        <v>340</v>
      </c>
      <c r="H44" s="1" t="s">
        <v>82</v>
      </c>
      <c r="I44" s="1" t="s">
        <v>345</v>
      </c>
      <c r="J44" s="1" t="s">
        <v>345</v>
      </c>
    </row>
    <row r="45" spans="1:10" x14ac:dyDescent="0.25">
      <c r="A45" s="1" t="s">
        <v>728</v>
      </c>
      <c r="B45" s="16">
        <v>1</v>
      </c>
      <c r="C45" s="18">
        <f t="shared" si="0"/>
        <v>0.73529411764705876</v>
      </c>
      <c r="D45" s="1" t="s">
        <v>645</v>
      </c>
      <c r="E45" s="1" t="s">
        <v>53</v>
      </c>
      <c r="F45" s="1" t="s">
        <v>755</v>
      </c>
      <c r="G45" s="1" t="s">
        <v>340</v>
      </c>
      <c r="H45" s="1" t="s">
        <v>83</v>
      </c>
      <c r="I45" s="1" t="s">
        <v>345</v>
      </c>
      <c r="J45" s="1" t="s">
        <v>345</v>
      </c>
    </row>
    <row r="46" spans="1:10" ht="15.75" thickBot="1" x14ac:dyDescent="0.3">
      <c r="A46" s="1" t="s">
        <v>729</v>
      </c>
      <c r="B46" s="16">
        <v>1</v>
      </c>
      <c r="C46" s="18">
        <f t="shared" si="0"/>
        <v>0.73529411764705876</v>
      </c>
      <c r="D46" s="1" t="s">
        <v>645</v>
      </c>
      <c r="E46" s="1" t="s">
        <v>53</v>
      </c>
      <c r="F46" s="1" t="s">
        <v>755</v>
      </c>
      <c r="G46" s="1" t="s">
        <v>340</v>
      </c>
      <c r="H46" s="19" t="s">
        <v>730</v>
      </c>
      <c r="I46" s="1" t="s">
        <v>345</v>
      </c>
      <c r="J46" s="1" t="s">
        <v>345</v>
      </c>
    </row>
    <row r="47" spans="1:10" ht="15.75" thickBot="1" x14ac:dyDescent="0.3">
      <c r="A47" s="1" t="s">
        <v>649</v>
      </c>
      <c r="B47" s="16">
        <v>1</v>
      </c>
      <c r="C47" s="18">
        <f t="shared" si="0"/>
        <v>0.73529411764705876</v>
      </c>
      <c r="D47" s="1" t="s">
        <v>644</v>
      </c>
      <c r="E47" s="1" t="s">
        <v>53</v>
      </c>
      <c r="F47" s="1" t="s">
        <v>755</v>
      </c>
      <c r="G47" s="1" t="s">
        <v>340</v>
      </c>
      <c r="H47" s="19" t="s">
        <v>731</v>
      </c>
      <c r="I47" s="1" t="s">
        <v>345</v>
      </c>
      <c r="J47" s="1" t="s">
        <v>345</v>
      </c>
    </row>
    <row r="48" spans="1:10" x14ac:dyDescent="0.25">
      <c r="A48" s="1" t="s">
        <v>347</v>
      </c>
      <c r="B48" s="16">
        <v>0</v>
      </c>
      <c r="C48" s="1" t="s">
        <v>1006</v>
      </c>
      <c r="D48" s="1" t="e">
        <f t="shared" si="0"/>
        <v>#VALUE!</v>
      </c>
      <c r="E48" s="1"/>
      <c r="F48" s="1"/>
      <c r="G48" s="1"/>
      <c r="H48" s="1"/>
      <c r="I48" s="1" t="s">
        <v>345</v>
      </c>
      <c r="J48" s="1" t="s">
        <v>345</v>
      </c>
    </row>
    <row r="49" spans="1:10" x14ac:dyDescent="0.25">
      <c r="A49" s="1" t="s">
        <v>348</v>
      </c>
      <c r="B49" s="16">
        <v>0</v>
      </c>
      <c r="C49" s="1" t="s">
        <v>1006</v>
      </c>
      <c r="D49" s="1" t="e">
        <f t="shared" si="0"/>
        <v>#VALUE!</v>
      </c>
      <c r="E49" s="1"/>
      <c r="F49" s="1"/>
      <c r="G49" s="1"/>
      <c r="H49" s="1"/>
      <c r="I49" s="1" t="s">
        <v>345</v>
      </c>
      <c r="J49" s="1" t="s">
        <v>345</v>
      </c>
    </row>
    <row r="50" spans="1:10" x14ac:dyDescent="0.25">
      <c r="A50" s="1" t="s">
        <v>349</v>
      </c>
      <c r="B50" s="16">
        <v>0</v>
      </c>
      <c r="C50" s="1" t="s">
        <v>1006</v>
      </c>
      <c r="D50" s="1" t="e">
        <f t="shared" si="0"/>
        <v>#VALUE!</v>
      </c>
      <c r="E50" s="1"/>
      <c r="F50" s="1"/>
      <c r="G50" s="1"/>
      <c r="H50" s="1"/>
      <c r="I50" s="1" t="s">
        <v>345</v>
      </c>
      <c r="J50" s="1" t="s">
        <v>345</v>
      </c>
    </row>
    <row r="51" spans="1:10" x14ac:dyDescent="0.25">
      <c r="A51" s="1" t="s">
        <v>350</v>
      </c>
      <c r="B51" s="16">
        <v>0</v>
      </c>
      <c r="C51" s="1" t="s">
        <v>1006</v>
      </c>
      <c r="D51" s="1" t="e">
        <f t="shared" si="0"/>
        <v>#VALUE!</v>
      </c>
      <c r="E51" s="1"/>
      <c r="F51" s="1"/>
      <c r="G51" s="1"/>
      <c r="H51" s="1"/>
      <c r="I51" s="1" t="s">
        <v>345</v>
      </c>
      <c r="J51" s="1" t="s">
        <v>345</v>
      </c>
    </row>
    <row r="52" spans="1:10" x14ac:dyDescent="0.25">
      <c r="A52" s="1" t="s">
        <v>351</v>
      </c>
      <c r="B52" s="16">
        <v>0</v>
      </c>
      <c r="C52" s="1" t="s">
        <v>1006</v>
      </c>
      <c r="D52" s="1" t="e">
        <f t="shared" si="0"/>
        <v>#VALUE!</v>
      </c>
      <c r="E52" s="1"/>
      <c r="F52" s="1"/>
      <c r="G52" s="1"/>
      <c r="H52" s="1"/>
      <c r="I52" s="1" t="s">
        <v>345</v>
      </c>
      <c r="J52" s="1" t="s">
        <v>345</v>
      </c>
    </row>
    <row r="53" spans="1:10" x14ac:dyDescent="0.25">
      <c r="A53" s="1" t="s">
        <v>352</v>
      </c>
      <c r="B53" s="16">
        <v>0</v>
      </c>
      <c r="C53" s="1" t="s">
        <v>1006</v>
      </c>
      <c r="D53" s="1" t="e">
        <f t="shared" si="0"/>
        <v>#VALUE!</v>
      </c>
      <c r="E53" s="1"/>
      <c r="F53" s="1"/>
      <c r="G53" s="1"/>
      <c r="H53" s="1"/>
      <c r="I53" s="1" t="s">
        <v>345</v>
      </c>
      <c r="J53" s="1" t="s">
        <v>345</v>
      </c>
    </row>
    <row r="54" spans="1:10" x14ac:dyDescent="0.25">
      <c r="A54" s="1" t="s">
        <v>353</v>
      </c>
      <c r="B54" s="16">
        <v>0</v>
      </c>
      <c r="C54" s="1" t="s">
        <v>1006</v>
      </c>
      <c r="D54" s="1" t="e">
        <f t="shared" si="0"/>
        <v>#VALUE!</v>
      </c>
      <c r="E54" s="1"/>
      <c r="F54" s="1"/>
      <c r="G54" s="1"/>
      <c r="H54" s="1"/>
      <c r="I54" s="1" t="s">
        <v>345</v>
      </c>
      <c r="J54" s="1" t="s">
        <v>345</v>
      </c>
    </row>
    <row r="55" spans="1:10" x14ac:dyDescent="0.25">
      <c r="A55" s="1" t="s">
        <v>354</v>
      </c>
      <c r="B55" s="16">
        <v>0</v>
      </c>
      <c r="C55" s="1" t="s">
        <v>1006</v>
      </c>
      <c r="D55" s="1" t="e">
        <f t="shared" si="0"/>
        <v>#VALUE!</v>
      </c>
      <c r="E55" s="1"/>
      <c r="F55" s="1"/>
      <c r="G55" s="1"/>
      <c r="H55" s="1"/>
      <c r="I55" s="1" t="s">
        <v>345</v>
      </c>
      <c r="J55" s="1" t="s">
        <v>345</v>
      </c>
    </row>
    <row r="56" spans="1:10" x14ac:dyDescent="0.25">
      <c r="A56" s="1" t="s">
        <v>355</v>
      </c>
      <c r="B56" s="16">
        <v>0</v>
      </c>
      <c r="C56" s="1" t="s">
        <v>1006</v>
      </c>
      <c r="D56" s="1" t="e">
        <f t="shared" si="0"/>
        <v>#VALUE!</v>
      </c>
      <c r="E56" s="1"/>
      <c r="F56" s="1"/>
      <c r="G56" s="1"/>
      <c r="H56" s="1"/>
      <c r="I56" s="1" t="s">
        <v>345</v>
      </c>
      <c r="J56" s="1" t="s">
        <v>345</v>
      </c>
    </row>
    <row r="57" spans="1:10" x14ac:dyDescent="0.25">
      <c r="A57" s="1" t="s">
        <v>356</v>
      </c>
      <c r="B57" s="16">
        <v>0</v>
      </c>
      <c r="C57" s="1" t="s">
        <v>1006</v>
      </c>
      <c r="D57" s="1" t="e">
        <f t="shared" si="0"/>
        <v>#VALUE!</v>
      </c>
      <c r="E57" s="1"/>
      <c r="F57" s="1"/>
      <c r="G57" s="1"/>
      <c r="H57" s="1"/>
      <c r="I57" s="1" t="s">
        <v>345</v>
      </c>
      <c r="J57" s="1" t="s">
        <v>345</v>
      </c>
    </row>
    <row r="58" spans="1:10" x14ac:dyDescent="0.25">
      <c r="A58" s="1" t="s">
        <v>357</v>
      </c>
      <c r="B58" s="16">
        <v>0</v>
      </c>
      <c r="C58" s="1" t="s">
        <v>1006</v>
      </c>
      <c r="D58" s="1" t="e">
        <f t="shared" si="0"/>
        <v>#VALUE!</v>
      </c>
      <c r="E58" s="1"/>
      <c r="F58" s="1"/>
      <c r="G58" s="1"/>
      <c r="H58" s="1"/>
      <c r="I58" s="1" t="s">
        <v>345</v>
      </c>
      <c r="J58" s="1" t="s">
        <v>345</v>
      </c>
    </row>
    <row r="59" spans="1:10" x14ac:dyDescent="0.25">
      <c r="A59" s="1" t="s">
        <v>358</v>
      </c>
      <c r="B59" s="16">
        <v>0</v>
      </c>
      <c r="C59" s="1" t="s">
        <v>1006</v>
      </c>
      <c r="D59" s="1" t="e">
        <f t="shared" si="0"/>
        <v>#VALUE!</v>
      </c>
      <c r="E59" s="1"/>
      <c r="F59" s="1"/>
      <c r="G59" s="1"/>
      <c r="H59" s="1"/>
      <c r="I59" s="1" t="s">
        <v>345</v>
      </c>
      <c r="J59" s="1" t="s">
        <v>345</v>
      </c>
    </row>
    <row r="60" spans="1:10" x14ac:dyDescent="0.25">
      <c r="A60" s="1" t="s">
        <v>359</v>
      </c>
      <c r="B60" s="16">
        <v>0</v>
      </c>
      <c r="C60" s="1" t="s">
        <v>1006</v>
      </c>
      <c r="D60" s="1" t="e">
        <f t="shared" si="0"/>
        <v>#VALUE!</v>
      </c>
      <c r="E60" s="1"/>
      <c r="F60" s="1"/>
      <c r="G60" s="1"/>
      <c r="H60" s="1"/>
      <c r="I60" s="1" t="s">
        <v>345</v>
      </c>
      <c r="J60" s="1" t="s">
        <v>345</v>
      </c>
    </row>
    <row r="61" spans="1:10" x14ac:dyDescent="0.25">
      <c r="A61" s="1" t="s">
        <v>360</v>
      </c>
      <c r="B61" s="16">
        <v>0</v>
      </c>
      <c r="C61" s="1" t="s">
        <v>1006</v>
      </c>
      <c r="D61" s="1" t="e">
        <f t="shared" si="0"/>
        <v>#VALUE!</v>
      </c>
      <c r="E61" s="1"/>
      <c r="F61" s="1"/>
      <c r="G61" s="1"/>
      <c r="H61" s="1"/>
      <c r="I61" s="1" t="s">
        <v>345</v>
      </c>
      <c r="J61" s="1" t="s">
        <v>345</v>
      </c>
    </row>
    <row r="62" spans="1:10" x14ac:dyDescent="0.25">
      <c r="A62" s="1" t="s">
        <v>361</v>
      </c>
      <c r="B62" s="16">
        <v>0</v>
      </c>
      <c r="C62" s="1" t="s">
        <v>1006</v>
      </c>
      <c r="D62" s="1" t="e">
        <f t="shared" si="0"/>
        <v>#VALUE!</v>
      </c>
      <c r="E62" s="1"/>
      <c r="F62" s="1"/>
      <c r="G62" s="1"/>
      <c r="H62" s="1"/>
      <c r="I62" s="1" t="s">
        <v>345</v>
      </c>
      <c r="J62" s="1" t="s">
        <v>345</v>
      </c>
    </row>
    <row r="63" spans="1:10" x14ac:dyDescent="0.25">
      <c r="A63" s="1" t="s">
        <v>362</v>
      </c>
      <c r="B63" s="16">
        <v>0</v>
      </c>
      <c r="C63" s="1" t="s">
        <v>1006</v>
      </c>
      <c r="D63" s="1" t="e">
        <f t="shared" si="0"/>
        <v>#VALUE!</v>
      </c>
      <c r="E63" s="1"/>
      <c r="F63" s="1"/>
      <c r="G63" s="1"/>
      <c r="H63" s="1"/>
      <c r="I63" s="1" t="s">
        <v>345</v>
      </c>
      <c r="J63" s="1" t="s">
        <v>345</v>
      </c>
    </row>
    <row r="64" spans="1:10" x14ac:dyDescent="0.25">
      <c r="A64" s="1" t="s">
        <v>363</v>
      </c>
      <c r="B64" s="16">
        <v>0</v>
      </c>
      <c r="C64" s="1" t="s">
        <v>1006</v>
      </c>
      <c r="D64" s="1" t="e">
        <f t="shared" si="0"/>
        <v>#VALUE!</v>
      </c>
      <c r="E64" s="1"/>
      <c r="F64" s="1"/>
      <c r="G64" s="1"/>
      <c r="H64" s="1"/>
      <c r="I64" s="1" t="s">
        <v>345</v>
      </c>
      <c r="J64" s="1" t="s">
        <v>345</v>
      </c>
    </row>
    <row r="65" spans="1:10" x14ac:dyDescent="0.25">
      <c r="A65" s="1" t="s">
        <v>364</v>
      </c>
      <c r="B65" s="16">
        <v>0</v>
      </c>
      <c r="C65" s="1" t="s">
        <v>1006</v>
      </c>
      <c r="D65" s="1" t="e">
        <f t="shared" si="0"/>
        <v>#VALUE!</v>
      </c>
      <c r="E65" s="1"/>
      <c r="F65" s="1"/>
      <c r="G65" s="1"/>
      <c r="H65" s="1"/>
      <c r="I65" s="1" t="s">
        <v>345</v>
      </c>
      <c r="J65" s="1" t="s">
        <v>345</v>
      </c>
    </row>
    <row r="66" spans="1:10" x14ac:dyDescent="0.25">
      <c r="A66" s="1" t="s">
        <v>365</v>
      </c>
      <c r="B66" s="16">
        <v>0</v>
      </c>
      <c r="C66" s="1" t="s">
        <v>1006</v>
      </c>
      <c r="D66" s="1" t="e">
        <f t="shared" si="0"/>
        <v>#VALUE!</v>
      </c>
      <c r="E66" s="1"/>
      <c r="F66" s="1"/>
      <c r="G66" s="1"/>
      <c r="H66" s="1"/>
      <c r="I66" s="1" t="s">
        <v>345</v>
      </c>
      <c r="J66" s="1" t="s">
        <v>345</v>
      </c>
    </row>
    <row r="67" spans="1:10" x14ac:dyDescent="0.25">
      <c r="A67" s="1" t="s">
        <v>366</v>
      </c>
      <c r="B67" s="16">
        <v>0</v>
      </c>
      <c r="C67" s="1" t="s">
        <v>1006</v>
      </c>
      <c r="D67" s="1" t="e">
        <f t="shared" si="0"/>
        <v>#VALUE!</v>
      </c>
      <c r="E67" s="1"/>
      <c r="F67" s="1"/>
      <c r="G67" s="1"/>
      <c r="H67" s="1"/>
      <c r="I67" s="1" t="s">
        <v>345</v>
      </c>
      <c r="J67" s="1" t="s">
        <v>345</v>
      </c>
    </row>
    <row r="68" spans="1:10" x14ac:dyDescent="0.25">
      <c r="A68" s="1" t="s">
        <v>367</v>
      </c>
      <c r="B68" s="16">
        <v>0</v>
      </c>
      <c r="C68" s="1" t="s">
        <v>1006</v>
      </c>
      <c r="D68" s="1" t="e">
        <f t="shared" si="0"/>
        <v>#VALUE!</v>
      </c>
      <c r="E68" s="1"/>
      <c r="F68" s="1"/>
      <c r="G68" s="1"/>
      <c r="H68" s="1"/>
      <c r="I68" s="1" t="s">
        <v>345</v>
      </c>
      <c r="J68" s="1" t="s">
        <v>345</v>
      </c>
    </row>
    <row r="69" spans="1:10" x14ac:dyDescent="0.25">
      <c r="A69" s="1" t="s">
        <v>368</v>
      </c>
      <c r="B69" s="16">
        <v>0</v>
      </c>
      <c r="C69" s="1" t="s">
        <v>1006</v>
      </c>
      <c r="D69" s="1" t="e">
        <f t="shared" si="0"/>
        <v>#VALUE!</v>
      </c>
      <c r="E69" s="1"/>
      <c r="F69" s="1"/>
      <c r="G69" s="1"/>
      <c r="H69" s="1"/>
      <c r="I69" s="1" t="s">
        <v>345</v>
      </c>
      <c r="J69" s="1" t="s">
        <v>345</v>
      </c>
    </row>
    <row r="70" spans="1:10" x14ac:dyDescent="0.25">
      <c r="A70" s="1" t="s">
        <v>369</v>
      </c>
      <c r="B70" s="16">
        <v>0</v>
      </c>
      <c r="C70" s="1" t="s">
        <v>1006</v>
      </c>
      <c r="D70" s="1" t="e">
        <f t="shared" si="0"/>
        <v>#VALUE!</v>
      </c>
      <c r="E70" s="1"/>
      <c r="F70" s="1"/>
      <c r="G70" s="1"/>
      <c r="H70" s="1"/>
      <c r="I70" s="1" t="s">
        <v>345</v>
      </c>
      <c r="J70" s="1" t="s">
        <v>345</v>
      </c>
    </row>
    <row r="71" spans="1:10" x14ac:dyDescent="0.25">
      <c r="A71" s="1" t="s">
        <v>370</v>
      </c>
      <c r="B71" s="16">
        <v>0</v>
      </c>
      <c r="C71" s="1" t="s">
        <v>1006</v>
      </c>
      <c r="D71" s="1" t="e">
        <f t="shared" si="0"/>
        <v>#VALUE!</v>
      </c>
      <c r="E71" s="1"/>
      <c r="F71" s="1"/>
      <c r="G71" s="1"/>
      <c r="H71" s="1"/>
      <c r="I71" s="1" t="s">
        <v>345</v>
      </c>
      <c r="J71" s="1" t="s">
        <v>345</v>
      </c>
    </row>
    <row r="72" spans="1:10" x14ac:dyDescent="0.25">
      <c r="A72" s="1" t="s">
        <v>371</v>
      </c>
      <c r="B72" s="16">
        <v>0</v>
      </c>
      <c r="C72" s="1" t="s">
        <v>1006</v>
      </c>
      <c r="D72" s="1" t="e">
        <f t="shared" si="0"/>
        <v>#VALUE!</v>
      </c>
      <c r="E72" s="1"/>
      <c r="F72" s="1"/>
      <c r="G72" s="1"/>
      <c r="H72" s="1"/>
      <c r="I72" s="1" t="s">
        <v>345</v>
      </c>
      <c r="J72" s="1" t="s">
        <v>345</v>
      </c>
    </row>
    <row r="73" spans="1:10" x14ac:dyDescent="0.25">
      <c r="A73" s="1" t="s">
        <v>372</v>
      </c>
      <c r="B73" s="16">
        <v>0</v>
      </c>
      <c r="C73" s="1" t="s">
        <v>1006</v>
      </c>
      <c r="D73" s="1" t="e">
        <f t="shared" si="0"/>
        <v>#VALUE!</v>
      </c>
      <c r="E73" s="1"/>
      <c r="F73" s="1"/>
      <c r="G73" s="1"/>
      <c r="H73" s="1"/>
      <c r="I73" s="1" t="s">
        <v>345</v>
      </c>
      <c r="J73" s="1" t="s">
        <v>345</v>
      </c>
    </row>
    <row r="74" spans="1:10" x14ac:dyDescent="0.25">
      <c r="A74" s="1" t="s">
        <v>373</v>
      </c>
      <c r="B74" s="16">
        <v>0</v>
      </c>
      <c r="C74" s="1" t="s">
        <v>1006</v>
      </c>
      <c r="D74" s="1" t="e">
        <f t="shared" si="0"/>
        <v>#VALUE!</v>
      </c>
      <c r="E74" s="1"/>
      <c r="F74" s="1"/>
      <c r="G74" s="1"/>
      <c r="H74" s="1"/>
      <c r="I74" s="1" t="s">
        <v>345</v>
      </c>
      <c r="J74" s="1" t="s">
        <v>345</v>
      </c>
    </row>
    <row r="75" spans="1:10" x14ac:dyDescent="0.25">
      <c r="A75" s="1" t="s">
        <v>374</v>
      </c>
      <c r="B75" s="16">
        <v>0</v>
      </c>
      <c r="C75" s="1" t="s">
        <v>1006</v>
      </c>
      <c r="D75" s="1" t="e">
        <f t="shared" si="0"/>
        <v>#VALUE!</v>
      </c>
      <c r="E75" s="1"/>
      <c r="F75" s="1"/>
      <c r="G75" s="1"/>
      <c r="H75" s="1"/>
      <c r="I75" s="1" t="s">
        <v>345</v>
      </c>
      <c r="J75" s="1" t="s">
        <v>345</v>
      </c>
    </row>
    <row r="76" spans="1:10" x14ac:dyDescent="0.25">
      <c r="A76" s="1" t="s">
        <v>375</v>
      </c>
      <c r="B76" s="16">
        <v>0</v>
      </c>
      <c r="C76" s="1" t="s">
        <v>1006</v>
      </c>
      <c r="D76" s="1" t="e">
        <f t="shared" si="0"/>
        <v>#VALUE!</v>
      </c>
      <c r="E76" s="1"/>
      <c r="F76" s="1"/>
      <c r="G76" s="1"/>
      <c r="H76" s="1"/>
      <c r="I76" s="1" t="s">
        <v>345</v>
      </c>
      <c r="J76" s="1" t="s">
        <v>345</v>
      </c>
    </row>
    <row r="77" spans="1:10" x14ac:dyDescent="0.25">
      <c r="A77" s="1" t="s">
        <v>376</v>
      </c>
      <c r="B77" s="16">
        <v>0</v>
      </c>
      <c r="C77" s="1" t="s">
        <v>1006</v>
      </c>
      <c r="D77" s="1" t="e">
        <f t="shared" si="0"/>
        <v>#VALUE!</v>
      </c>
      <c r="E77" s="1"/>
      <c r="F77" s="1"/>
      <c r="G77" s="1"/>
      <c r="H77" s="1"/>
      <c r="I77" s="1" t="s">
        <v>345</v>
      </c>
      <c r="J77" s="1" t="s">
        <v>345</v>
      </c>
    </row>
    <row r="78" spans="1:10" x14ac:dyDescent="0.25">
      <c r="A78" s="1" t="s">
        <v>377</v>
      </c>
      <c r="B78" s="16">
        <v>0</v>
      </c>
      <c r="C78" s="1" t="s">
        <v>1006</v>
      </c>
      <c r="D78" s="1" t="e">
        <f t="shared" si="0"/>
        <v>#VALUE!</v>
      </c>
      <c r="E78" s="1"/>
      <c r="F78" s="1"/>
      <c r="G78" s="1"/>
      <c r="H78" s="1"/>
      <c r="I78" s="1" t="s">
        <v>345</v>
      </c>
      <c r="J78" s="1" t="s">
        <v>345</v>
      </c>
    </row>
    <row r="79" spans="1:10" x14ac:dyDescent="0.25">
      <c r="A79" s="1" t="s">
        <v>378</v>
      </c>
      <c r="B79" s="16">
        <v>0</v>
      </c>
      <c r="C79" s="1" t="s">
        <v>1006</v>
      </c>
      <c r="D79" s="1" t="e">
        <f t="shared" si="0"/>
        <v>#VALUE!</v>
      </c>
      <c r="E79" s="1"/>
      <c r="F79" s="1"/>
      <c r="G79" s="1"/>
      <c r="H79" s="1"/>
      <c r="I79" s="1" t="s">
        <v>345</v>
      </c>
      <c r="J79" s="1" t="s">
        <v>345</v>
      </c>
    </row>
    <row r="80" spans="1:10" x14ac:dyDescent="0.25">
      <c r="A80" s="1" t="s">
        <v>379</v>
      </c>
      <c r="B80" s="16">
        <v>0</v>
      </c>
      <c r="C80" s="1" t="s">
        <v>1006</v>
      </c>
      <c r="D80" s="1" t="e">
        <f t="shared" si="0"/>
        <v>#VALUE!</v>
      </c>
      <c r="E80" s="1"/>
      <c r="F80" s="1"/>
      <c r="G80" s="1"/>
      <c r="H80" s="1"/>
      <c r="I80" s="1" t="s">
        <v>345</v>
      </c>
      <c r="J80" s="1" t="s">
        <v>345</v>
      </c>
    </row>
    <row r="81" spans="1:13" x14ac:dyDescent="0.25">
      <c r="A81" s="1" t="s">
        <v>380</v>
      </c>
      <c r="B81" s="16">
        <v>0</v>
      </c>
      <c r="C81" s="1" t="s">
        <v>1006</v>
      </c>
      <c r="D81" s="1" t="e">
        <f t="shared" ref="D81:D94" si="1">(C81/SUM(C$16:C$94))*100</f>
        <v>#VALUE!</v>
      </c>
      <c r="E81" s="1"/>
      <c r="F81" s="1"/>
      <c r="G81" s="1"/>
      <c r="H81" s="1"/>
      <c r="I81" s="1" t="s">
        <v>345</v>
      </c>
      <c r="J81" s="1" t="s">
        <v>345</v>
      </c>
    </row>
    <row r="82" spans="1:13" x14ac:dyDescent="0.25">
      <c r="A82" s="1" t="s">
        <v>381</v>
      </c>
      <c r="B82" s="16">
        <v>0</v>
      </c>
      <c r="C82" s="1" t="s">
        <v>1006</v>
      </c>
      <c r="D82" s="1" t="e">
        <f t="shared" si="1"/>
        <v>#VALUE!</v>
      </c>
      <c r="E82" s="1"/>
      <c r="F82" s="1"/>
      <c r="G82" s="1"/>
      <c r="H82" s="1"/>
      <c r="I82" s="1" t="s">
        <v>345</v>
      </c>
      <c r="J82" s="1" t="s">
        <v>345</v>
      </c>
    </row>
    <row r="83" spans="1:13" x14ac:dyDescent="0.25">
      <c r="A83" s="1" t="s">
        <v>382</v>
      </c>
      <c r="B83" s="16">
        <v>0</v>
      </c>
      <c r="C83" s="1" t="s">
        <v>1006</v>
      </c>
      <c r="D83" s="1" t="e">
        <f t="shared" si="1"/>
        <v>#VALUE!</v>
      </c>
      <c r="E83" s="1"/>
      <c r="F83" s="1"/>
      <c r="G83" s="1"/>
      <c r="H83" s="1"/>
      <c r="I83" s="1" t="s">
        <v>345</v>
      </c>
      <c r="J83" s="1" t="s">
        <v>345</v>
      </c>
    </row>
    <row r="84" spans="1:13" x14ac:dyDescent="0.25">
      <c r="A84" s="1" t="s">
        <v>383</v>
      </c>
      <c r="B84" s="16">
        <v>0</v>
      </c>
      <c r="C84" s="1" t="s">
        <v>1006</v>
      </c>
      <c r="D84" s="1" t="e">
        <f t="shared" si="1"/>
        <v>#VALUE!</v>
      </c>
      <c r="E84" s="1"/>
      <c r="F84" s="1"/>
      <c r="G84" s="1"/>
      <c r="H84" s="1"/>
      <c r="I84" s="1" t="s">
        <v>345</v>
      </c>
      <c r="J84" s="1" t="s">
        <v>345</v>
      </c>
    </row>
    <row r="85" spans="1:13" x14ac:dyDescent="0.25">
      <c r="A85" s="1" t="s">
        <v>384</v>
      </c>
      <c r="B85" s="16">
        <v>0</v>
      </c>
      <c r="C85" s="1" t="s">
        <v>1006</v>
      </c>
      <c r="D85" s="1" t="e">
        <f t="shared" si="1"/>
        <v>#VALUE!</v>
      </c>
      <c r="E85" s="1"/>
      <c r="F85" s="1"/>
      <c r="G85" s="1"/>
      <c r="H85" s="1"/>
      <c r="I85" s="1" t="s">
        <v>345</v>
      </c>
      <c r="J85" s="1" t="s">
        <v>345</v>
      </c>
    </row>
    <row r="86" spans="1:13" x14ac:dyDescent="0.25">
      <c r="A86" s="1" t="s">
        <v>385</v>
      </c>
      <c r="B86" s="16">
        <v>0</v>
      </c>
      <c r="C86" s="1" t="s">
        <v>1006</v>
      </c>
      <c r="D86" s="1" t="e">
        <f t="shared" si="1"/>
        <v>#VALUE!</v>
      </c>
      <c r="E86" s="1"/>
      <c r="F86" s="1"/>
      <c r="G86" s="1"/>
      <c r="H86" s="1"/>
      <c r="I86" s="1" t="s">
        <v>345</v>
      </c>
      <c r="J86" s="1" t="s">
        <v>345</v>
      </c>
    </row>
    <row r="87" spans="1:13" x14ac:dyDescent="0.25">
      <c r="A87" s="1" t="s">
        <v>386</v>
      </c>
      <c r="B87" s="16">
        <v>0</v>
      </c>
      <c r="C87" s="1" t="s">
        <v>1006</v>
      </c>
      <c r="D87" s="1" t="e">
        <f t="shared" si="1"/>
        <v>#VALUE!</v>
      </c>
      <c r="E87" s="1"/>
      <c r="F87" s="1"/>
      <c r="G87" s="1"/>
      <c r="H87" s="1"/>
      <c r="I87" s="1" t="s">
        <v>345</v>
      </c>
      <c r="J87" s="1" t="s">
        <v>345</v>
      </c>
    </row>
    <row r="88" spans="1:13" x14ac:dyDescent="0.25">
      <c r="A88" s="1" t="s">
        <v>387</v>
      </c>
      <c r="B88" s="16">
        <v>0</v>
      </c>
      <c r="C88" s="1" t="s">
        <v>1006</v>
      </c>
      <c r="D88" s="1" t="e">
        <f t="shared" si="1"/>
        <v>#VALUE!</v>
      </c>
      <c r="E88" s="1"/>
      <c r="F88" s="1"/>
      <c r="G88" s="1"/>
      <c r="H88" s="1"/>
      <c r="I88" s="1" t="s">
        <v>345</v>
      </c>
      <c r="J88" s="1" t="s">
        <v>345</v>
      </c>
    </row>
    <row r="89" spans="1:13" x14ac:dyDescent="0.25">
      <c r="A89" s="1" t="s">
        <v>388</v>
      </c>
      <c r="B89" s="16">
        <v>0</v>
      </c>
      <c r="C89" s="1" t="s">
        <v>1006</v>
      </c>
      <c r="D89" s="1" t="e">
        <f t="shared" si="1"/>
        <v>#VALUE!</v>
      </c>
      <c r="E89" s="1"/>
      <c r="F89" s="1"/>
      <c r="G89" s="1"/>
      <c r="H89" s="1"/>
      <c r="I89" s="1" t="s">
        <v>345</v>
      </c>
      <c r="J89" s="1" t="s">
        <v>345</v>
      </c>
    </row>
    <row r="90" spans="1:13" x14ac:dyDescent="0.25">
      <c r="A90" s="1" t="s">
        <v>389</v>
      </c>
      <c r="B90" s="16">
        <v>0</v>
      </c>
      <c r="C90" s="1" t="s">
        <v>1006</v>
      </c>
      <c r="D90" s="1" t="e">
        <f t="shared" si="1"/>
        <v>#VALUE!</v>
      </c>
      <c r="E90" s="1"/>
      <c r="F90" s="1"/>
      <c r="G90" s="1"/>
      <c r="H90" s="1"/>
      <c r="I90" s="1" t="s">
        <v>345</v>
      </c>
      <c r="J90" s="1" t="s">
        <v>345</v>
      </c>
    </row>
    <row r="91" spans="1:13" x14ac:dyDescent="0.25">
      <c r="A91" s="1" t="s">
        <v>390</v>
      </c>
      <c r="B91" s="16">
        <v>0</v>
      </c>
      <c r="C91" s="1" t="s">
        <v>1006</v>
      </c>
      <c r="D91" s="1" t="e">
        <f t="shared" si="1"/>
        <v>#VALUE!</v>
      </c>
      <c r="E91" s="1"/>
      <c r="F91" s="1"/>
      <c r="G91" s="1"/>
      <c r="H91" s="1"/>
      <c r="I91" s="1" t="s">
        <v>345</v>
      </c>
      <c r="J91" s="1" t="s">
        <v>345</v>
      </c>
    </row>
    <row r="92" spans="1:13" x14ac:dyDescent="0.25">
      <c r="A92" s="1" t="s">
        <v>391</v>
      </c>
      <c r="B92" s="16">
        <v>0</v>
      </c>
      <c r="C92" s="1" t="s">
        <v>1006</v>
      </c>
      <c r="D92" s="1" t="e">
        <f t="shared" si="1"/>
        <v>#VALUE!</v>
      </c>
      <c r="E92" s="1"/>
      <c r="F92" s="1"/>
      <c r="G92" s="1"/>
      <c r="H92" s="1"/>
      <c r="I92" s="1" t="s">
        <v>345</v>
      </c>
      <c r="J92" s="1" t="s">
        <v>345</v>
      </c>
    </row>
    <row r="93" spans="1:13" x14ac:dyDescent="0.25">
      <c r="A93" s="1" t="s">
        <v>392</v>
      </c>
      <c r="B93" s="16">
        <v>0</v>
      </c>
      <c r="C93" s="1" t="s">
        <v>1006</v>
      </c>
      <c r="D93" s="1" t="e">
        <f t="shared" si="1"/>
        <v>#VALUE!</v>
      </c>
      <c r="E93" s="1"/>
      <c r="F93" s="1"/>
      <c r="G93" s="1"/>
      <c r="H93" s="1"/>
      <c r="I93" s="1" t="s">
        <v>345</v>
      </c>
      <c r="J93" s="1" t="s">
        <v>345</v>
      </c>
    </row>
    <row r="94" spans="1:13" x14ac:dyDescent="0.25">
      <c r="A94" s="10" t="s">
        <v>393</v>
      </c>
      <c r="B94" s="17">
        <v>0</v>
      </c>
      <c r="C94" s="1" t="s">
        <v>1006</v>
      </c>
      <c r="D94" s="10" t="e">
        <f t="shared" si="1"/>
        <v>#VALUE!</v>
      </c>
      <c r="E94" s="10"/>
      <c r="F94" s="10"/>
      <c r="G94" s="10"/>
      <c r="H94" s="10"/>
      <c r="I94" s="1" t="s">
        <v>345</v>
      </c>
      <c r="J94" s="1" t="s">
        <v>345</v>
      </c>
    </row>
    <row r="95" spans="1:13" x14ac:dyDescent="0.25">
      <c r="A95" s="1" t="s">
        <v>394</v>
      </c>
      <c r="B95" s="1">
        <v>0</v>
      </c>
      <c r="C95" s="1" t="s">
        <v>1006</v>
      </c>
      <c r="D95" s="1" t="e">
        <f t="shared" ref="D95:D96" si="2">(C95/SUM(C$16:C$94))*100</f>
        <v>#VALUE!</v>
      </c>
      <c r="E95" s="1"/>
      <c r="F95" s="1"/>
      <c r="G95" s="1"/>
      <c r="H95" s="1"/>
      <c r="I95" s="1" t="s">
        <v>345</v>
      </c>
      <c r="J95" s="1" t="s">
        <v>345</v>
      </c>
      <c r="L95" s="1"/>
      <c r="M95" s="1"/>
    </row>
    <row r="96" spans="1:13" x14ac:dyDescent="0.25">
      <c r="A96" s="1" t="s">
        <v>395</v>
      </c>
      <c r="B96" s="1">
        <v>0</v>
      </c>
      <c r="C96" s="1" t="s">
        <v>1006</v>
      </c>
      <c r="D96" s="1" t="e">
        <f t="shared" si="2"/>
        <v>#VALUE!</v>
      </c>
      <c r="E96" s="1"/>
      <c r="F96" s="1"/>
      <c r="G96" s="1"/>
      <c r="H96" s="1"/>
      <c r="I96" s="1" t="s">
        <v>345</v>
      </c>
      <c r="J96" s="1" t="s">
        <v>345</v>
      </c>
      <c r="L96" s="1"/>
      <c r="M96" s="1"/>
    </row>
  </sheetData>
  <autoFilter ref="D15:D96" xr:uid="{A44EB5A0-DA26-4A1A-B8AE-D58EEB26AA7D}"/>
  <mergeCells count="3">
    <mergeCell ref="B14:D14"/>
    <mergeCell ref="B8:C8"/>
    <mergeCell ref="B11:C11"/>
  </mergeCells>
  <conditionalFormatting sqref="D16:D47">
    <cfRule type="cellIs" dxfId="57" priority="1" operator="equal">
      <formula>"not original"</formula>
    </cfRule>
    <cfRule type="cellIs" dxfId="56" priority="2" operator="equal">
      <formula>"original"</formula>
    </cfRule>
  </conditionalFormatting>
  <conditionalFormatting sqref="E16:E47">
    <cfRule type="cellIs" dxfId="55" priority="17" operator="equal">
      <formula>$A$10</formula>
    </cfRule>
    <cfRule type="cellIs" dxfId="54" priority="18" operator="equal">
      <formula>$A$9</formula>
    </cfRule>
  </conditionalFormatting>
  <conditionalFormatting sqref="G16:G47">
    <cfRule type="cellIs" dxfId="53" priority="13" operator="equal">
      <formula>$A$7</formula>
    </cfRule>
    <cfRule type="cellIs" dxfId="52" priority="14" operator="equal">
      <formula>$A$6</formula>
    </cfRule>
  </conditionalFormatting>
  <conditionalFormatting sqref="I16:I96">
    <cfRule type="cellIs" dxfId="51" priority="10" operator="equal">
      <formula>$A$2</formula>
    </cfRule>
    <cfRule type="cellIs" dxfId="50" priority="11" operator="equal">
      <formula>$A$3</formula>
    </cfRule>
    <cfRule type="cellIs" dxfId="49" priority="12" operator="equal">
      <formula>"agree"</formula>
    </cfRule>
  </conditionalFormatting>
  <conditionalFormatting sqref="I16:J96">
    <cfRule type="cellIs" dxfId="48" priority="5" operator="equal">
      <formula>$A$3</formula>
    </cfRule>
  </conditionalFormatting>
  <conditionalFormatting sqref="J16:J96">
    <cfRule type="cellIs" dxfId="47" priority="3" operator="equal">
      <formula>$B$3</formula>
    </cfRule>
    <cfRule type="cellIs" dxfId="46" priority="4" operator="equal">
      <formula>$B$3</formula>
    </cfRule>
    <cfRule type="cellIs" dxfId="45" priority="8" operator="equal">
      <formula>$B$2</formula>
    </cfRule>
  </conditionalFormatting>
  <dataValidations count="5">
    <dataValidation type="list" allowBlank="1" showInputMessage="1" showErrorMessage="1" sqref="E16:E47" xr:uid="{CDECFC44-DD1C-42D3-9CB5-254CC6A50CF4}">
      <formula1>$A$9:$A$10</formula1>
    </dataValidation>
    <dataValidation type="list" allowBlank="1" showInputMessage="1" showErrorMessage="1" sqref="G16:G47" xr:uid="{0C82C142-1866-422F-B619-894120BD7605}">
      <formula1>$A$6:$A$7</formula1>
    </dataValidation>
    <dataValidation type="list" allowBlank="1" showInputMessage="1" showErrorMessage="1" sqref="I16:I96" xr:uid="{2AD84E51-F710-47D3-8124-6D6F30B39C0B}">
      <formula1>$A$2:$A$4</formula1>
    </dataValidation>
    <dataValidation type="list" allowBlank="1" showInputMessage="1" showErrorMessage="1" sqref="J16:J96" xr:uid="{299A870C-BD42-4F7A-9E08-EF01329467FE}">
      <formula1>$B$2:$B$4</formula1>
    </dataValidation>
    <dataValidation type="list" allowBlank="1" showInputMessage="1" showErrorMessage="1" sqref="F16:F47" xr:uid="{1135FB81-F54B-404F-9BD7-E1F539E82652}">
      <formula1>$F$2:$F$11</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D0F87-D539-401C-9365-39628BB7DF26}">
  <sheetPr filterMode="1"/>
  <dimension ref="A1:K175"/>
  <sheetViews>
    <sheetView workbookViewId="0">
      <selection activeCell="B6" sqref="B6:E6"/>
    </sheetView>
  </sheetViews>
  <sheetFormatPr defaultRowHeight="15" x14ac:dyDescent="0.25"/>
  <cols>
    <col min="1" max="1" width="39.28515625" bestFit="1" customWidth="1"/>
    <col min="2" max="2" width="14" customWidth="1"/>
    <col min="3" max="3" width="13.5703125" customWidth="1"/>
    <col min="4" max="4" width="44.140625" customWidth="1"/>
    <col min="5" max="6" width="24.42578125" customWidth="1"/>
    <col min="7" max="7" width="27.85546875" customWidth="1"/>
    <col min="10" max="10" width="19.7109375" customWidth="1"/>
  </cols>
  <sheetData>
    <row r="1" spans="1:10" ht="16.5" x14ac:dyDescent="0.25">
      <c r="A1" s="9" t="s">
        <v>36</v>
      </c>
      <c r="B1" s="9" t="s">
        <v>338</v>
      </c>
      <c r="C1" s="3"/>
      <c r="E1" s="37"/>
      <c r="F1" s="5" t="s">
        <v>37</v>
      </c>
      <c r="G1" s="31"/>
      <c r="H1" s="1"/>
      <c r="I1" s="1"/>
      <c r="J1" s="1"/>
    </row>
    <row r="2" spans="1:10" ht="16.5" x14ac:dyDescent="0.25">
      <c r="A2" s="1" t="s">
        <v>38</v>
      </c>
      <c r="B2" s="4" t="s">
        <v>41</v>
      </c>
      <c r="C2" s="4" t="s">
        <v>43</v>
      </c>
      <c r="E2" s="30"/>
      <c r="F2" s="33" t="s">
        <v>893</v>
      </c>
      <c r="G2" s="31"/>
      <c r="H2" s="1"/>
      <c r="I2" s="1"/>
      <c r="J2" s="1"/>
    </row>
    <row r="3" spans="1:10" ht="16.5" x14ac:dyDescent="0.25">
      <c r="A3" s="1" t="s">
        <v>39</v>
      </c>
      <c r="B3" s="4" t="s">
        <v>42</v>
      </c>
      <c r="C3" s="4" t="s">
        <v>44</v>
      </c>
      <c r="E3" s="30"/>
      <c r="F3" s="33" t="s">
        <v>894</v>
      </c>
      <c r="G3" s="31"/>
      <c r="H3" s="1"/>
      <c r="I3" s="1"/>
      <c r="J3" s="1"/>
    </row>
    <row r="4" spans="1:10" ht="16.5" x14ac:dyDescent="0.25">
      <c r="A4" s="10" t="s">
        <v>345</v>
      </c>
      <c r="B4" s="10" t="s">
        <v>345</v>
      </c>
      <c r="C4" s="36"/>
      <c r="E4" s="38"/>
      <c r="F4" s="33" t="s">
        <v>758</v>
      </c>
      <c r="G4" s="31"/>
      <c r="H4" s="1"/>
      <c r="I4" s="1"/>
      <c r="J4" s="1"/>
    </row>
    <row r="5" spans="1:10" ht="16.5" x14ac:dyDescent="0.25">
      <c r="A5" s="5" t="s">
        <v>47</v>
      </c>
      <c r="B5" s="44" t="s">
        <v>1340</v>
      </c>
      <c r="C5" s="44"/>
      <c r="D5" s="44"/>
      <c r="E5" s="45"/>
      <c r="F5" s="33" t="s">
        <v>759</v>
      </c>
      <c r="G5" s="31"/>
      <c r="H5" s="1"/>
      <c r="I5" s="1"/>
      <c r="J5" s="1"/>
    </row>
    <row r="6" spans="1:10" ht="16.5" x14ac:dyDescent="0.25">
      <c r="A6" s="1" t="s">
        <v>339</v>
      </c>
      <c r="B6" s="44" t="s">
        <v>343</v>
      </c>
      <c r="C6" s="44"/>
      <c r="D6" s="44"/>
      <c r="E6" s="45"/>
      <c r="F6" s="33" t="s">
        <v>895</v>
      </c>
      <c r="G6" s="31"/>
      <c r="H6" s="1"/>
      <c r="I6" s="1"/>
      <c r="J6" s="1"/>
    </row>
    <row r="7" spans="1:10" ht="16.5" x14ac:dyDescent="0.25">
      <c r="A7" s="1" t="s">
        <v>340</v>
      </c>
      <c r="B7" s="44" t="s">
        <v>344</v>
      </c>
      <c r="C7" s="44"/>
      <c r="D7" s="44"/>
      <c r="E7" s="45"/>
      <c r="F7" s="33" t="s">
        <v>752</v>
      </c>
      <c r="G7" s="31"/>
      <c r="H7" s="1"/>
      <c r="I7" s="1"/>
      <c r="J7" s="1"/>
    </row>
    <row r="8" spans="1:10" x14ac:dyDescent="0.25">
      <c r="A8" s="5" t="s">
        <v>341</v>
      </c>
      <c r="B8" s="46" t="s">
        <v>1338</v>
      </c>
      <c r="C8" s="46"/>
      <c r="D8" s="46"/>
      <c r="E8" s="41"/>
      <c r="F8" s="33" t="s">
        <v>896</v>
      </c>
      <c r="G8" s="31"/>
      <c r="H8" s="1"/>
      <c r="I8" s="1"/>
      <c r="J8" s="1"/>
    </row>
    <row r="9" spans="1:10" x14ac:dyDescent="0.25">
      <c r="A9" s="1" t="s">
        <v>53</v>
      </c>
      <c r="B9" s="46" t="s">
        <v>1334</v>
      </c>
      <c r="C9" s="46"/>
      <c r="D9" s="46"/>
      <c r="E9" s="41"/>
      <c r="F9" s="33" t="s">
        <v>897</v>
      </c>
      <c r="G9" s="31"/>
      <c r="H9" s="1"/>
      <c r="I9" s="1"/>
      <c r="J9" s="1"/>
    </row>
    <row r="10" spans="1:10" x14ac:dyDescent="0.25">
      <c r="A10" s="1" t="s">
        <v>166</v>
      </c>
      <c r="B10" s="46" t="s">
        <v>1335</v>
      </c>
      <c r="C10" s="46"/>
      <c r="D10" s="46"/>
      <c r="E10" s="41"/>
      <c r="F10" s="33" t="s">
        <v>898</v>
      </c>
      <c r="G10" s="31"/>
      <c r="H10" s="1"/>
      <c r="I10" s="1"/>
      <c r="J10" s="1"/>
    </row>
    <row r="11" spans="1:10" x14ac:dyDescent="0.25">
      <c r="A11" s="5" t="s">
        <v>346</v>
      </c>
      <c r="B11" s="35" t="s">
        <v>1339</v>
      </c>
      <c r="C11" s="35"/>
      <c r="D11" s="35"/>
      <c r="E11" s="34"/>
      <c r="F11" s="33" t="s">
        <v>899</v>
      </c>
      <c r="G11" s="31"/>
      <c r="H11" s="1"/>
      <c r="I11" s="1"/>
      <c r="J11" s="1"/>
    </row>
    <row r="12" spans="1:10" x14ac:dyDescent="0.25">
      <c r="A12" s="1" t="s">
        <v>645</v>
      </c>
      <c r="B12" s="46" t="s">
        <v>1336</v>
      </c>
      <c r="C12" s="46"/>
      <c r="D12" s="46"/>
      <c r="E12" s="46"/>
      <c r="F12" s="39"/>
      <c r="G12" s="1"/>
      <c r="H12" s="1"/>
      <c r="I12" s="1"/>
      <c r="J12" s="1"/>
    </row>
    <row r="13" spans="1:10" x14ac:dyDescent="0.25">
      <c r="A13" s="1" t="s">
        <v>644</v>
      </c>
      <c r="B13" s="46" t="s">
        <v>1337</v>
      </c>
      <c r="C13" s="46"/>
      <c r="D13" s="46"/>
      <c r="E13" s="46"/>
      <c r="F13" s="31"/>
      <c r="G13" s="1"/>
      <c r="H13" s="1"/>
      <c r="I13" s="1"/>
      <c r="J13" s="1"/>
    </row>
    <row r="14" spans="1:10" ht="72" customHeight="1" x14ac:dyDescent="0.25">
      <c r="A14" s="8" t="s">
        <v>342</v>
      </c>
      <c r="B14" s="40" t="s">
        <v>167</v>
      </c>
      <c r="C14" s="40"/>
      <c r="D14" s="40"/>
      <c r="E14" s="8" t="s">
        <v>45</v>
      </c>
      <c r="F14" s="8"/>
      <c r="G14" s="1"/>
      <c r="H14" s="1"/>
      <c r="I14" s="1"/>
      <c r="J14" s="1"/>
    </row>
    <row r="15" spans="1:10" x14ac:dyDescent="0.25">
      <c r="A15" s="5" t="s">
        <v>46</v>
      </c>
      <c r="B15" s="5" t="s">
        <v>650</v>
      </c>
      <c r="C15" s="5" t="s">
        <v>651</v>
      </c>
      <c r="D15" s="5" t="s">
        <v>346</v>
      </c>
      <c r="E15" s="5" t="s">
        <v>35</v>
      </c>
      <c r="F15" s="5" t="s">
        <v>37</v>
      </c>
      <c r="G15" s="5" t="s">
        <v>47</v>
      </c>
      <c r="H15" s="5" t="s">
        <v>37</v>
      </c>
      <c r="I15" s="9" t="s">
        <v>36</v>
      </c>
      <c r="J15" s="9" t="s">
        <v>338</v>
      </c>
    </row>
    <row r="16" spans="1:10" x14ac:dyDescent="0.25">
      <c r="A16" s="1" t="s">
        <v>87</v>
      </c>
      <c r="B16" s="14">
        <v>13</v>
      </c>
      <c r="C16" s="18">
        <v>7.34</v>
      </c>
      <c r="D16" s="1" t="s">
        <v>645</v>
      </c>
      <c r="E16" s="1" t="s">
        <v>53</v>
      </c>
      <c r="F16" s="1" t="s">
        <v>755</v>
      </c>
      <c r="G16" s="1" t="s">
        <v>340</v>
      </c>
      <c r="H16" s="1" t="s">
        <v>135</v>
      </c>
      <c r="I16" s="1" t="s">
        <v>345</v>
      </c>
      <c r="J16" s="1" t="s">
        <v>345</v>
      </c>
    </row>
    <row r="17" spans="1:10" ht="12.75" hidden="1" customHeight="1" x14ac:dyDescent="0.25">
      <c r="A17" s="1" t="s">
        <v>85</v>
      </c>
      <c r="B17" s="14">
        <v>15</v>
      </c>
      <c r="C17" s="18">
        <v>6.78</v>
      </c>
      <c r="D17" s="1" t="s">
        <v>644</v>
      </c>
      <c r="E17" s="1" t="s">
        <v>53</v>
      </c>
      <c r="F17" s="1" t="s">
        <v>755</v>
      </c>
      <c r="G17" s="1" t="s">
        <v>340</v>
      </c>
      <c r="H17" s="1" t="s">
        <v>136</v>
      </c>
      <c r="I17" s="1" t="s">
        <v>345</v>
      </c>
      <c r="J17" s="1" t="s">
        <v>345</v>
      </c>
    </row>
    <row r="18" spans="1:10" x14ac:dyDescent="0.25">
      <c r="A18" s="1" t="s">
        <v>86</v>
      </c>
      <c r="B18" s="14">
        <v>10</v>
      </c>
      <c r="C18" s="18">
        <v>5.65</v>
      </c>
      <c r="D18" s="1" t="s">
        <v>645</v>
      </c>
      <c r="E18" s="1" t="s">
        <v>53</v>
      </c>
      <c r="F18" s="1" t="s">
        <v>755</v>
      </c>
      <c r="G18" s="1" t="s">
        <v>340</v>
      </c>
      <c r="H18" s="1" t="s">
        <v>137</v>
      </c>
      <c r="I18" s="1" t="s">
        <v>345</v>
      </c>
      <c r="J18" s="1" t="s">
        <v>345</v>
      </c>
    </row>
    <row r="19" spans="1:10" hidden="1" x14ac:dyDescent="0.25">
      <c r="A19" s="1" t="s">
        <v>88</v>
      </c>
      <c r="B19" s="14">
        <v>6</v>
      </c>
      <c r="C19" s="18">
        <v>3.39</v>
      </c>
      <c r="D19" s="1" t="s">
        <v>644</v>
      </c>
      <c r="E19" s="1" t="s">
        <v>53</v>
      </c>
      <c r="F19" s="1" t="s">
        <v>755</v>
      </c>
      <c r="G19" s="1" t="s">
        <v>340</v>
      </c>
      <c r="H19" s="1" t="s">
        <v>138</v>
      </c>
      <c r="I19" s="1" t="s">
        <v>345</v>
      </c>
      <c r="J19" s="1" t="s">
        <v>345</v>
      </c>
    </row>
    <row r="20" spans="1:10" x14ac:dyDescent="0.25">
      <c r="A20" s="1" t="s">
        <v>653</v>
      </c>
      <c r="B20" s="14">
        <v>6</v>
      </c>
      <c r="C20" s="18">
        <v>3.39</v>
      </c>
      <c r="D20" s="1" t="s">
        <v>645</v>
      </c>
      <c r="E20" s="1" t="s">
        <v>53</v>
      </c>
      <c r="F20" s="1" t="s">
        <v>755</v>
      </c>
      <c r="G20" s="1" t="s">
        <v>340</v>
      </c>
      <c r="H20" s="1" t="s">
        <v>139</v>
      </c>
      <c r="I20" s="1" t="s">
        <v>345</v>
      </c>
      <c r="J20" s="1" t="s">
        <v>345</v>
      </c>
    </row>
    <row r="21" spans="1:10" hidden="1" x14ac:dyDescent="0.25">
      <c r="A21" s="1" t="s">
        <v>92</v>
      </c>
      <c r="B21" s="14">
        <v>5</v>
      </c>
      <c r="C21" s="18">
        <v>2.82</v>
      </c>
      <c r="D21" s="1" t="s">
        <v>644</v>
      </c>
      <c r="E21" s="1" t="s">
        <v>53</v>
      </c>
      <c r="F21" s="1" t="s">
        <v>755</v>
      </c>
      <c r="G21" s="1" t="s">
        <v>340</v>
      </c>
      <c r="H21" s="1" t="s">
        <v>140</v>
      </c>
      <c r="I21" s="1" t="s">
        <v>345</v>
      </c>
      <c r="J21" s="1" t="s">
        <v>345</v>
      </c>
    </row>
    <row r="22" spans="1:10" x14ac:dyDescent="0.25">
      <c r="A22" s="1" t="s">
        <v>89</v>
      </c>
      <c r="B22" s="14">
        <v>4</v>
      </c>
      <c r="C22" s="18">
        <v>2.2599999999999998</v>
      </c>
      <c r="D22" s="1" t="s">
        <v>645</v>
      </c>
      <c r="E22" s="1" t="s">
        <v>53</v>
      </c>
      <c r="F22" s="1" t="s">
        <v>755</v>
      </c>
      <c r="G22" s="1" t="s">
        <v>340</v>
      </c>
      <c r="H22" s="1" t="s">
        <v>141</v>
      </c>
      <c r="I22" s="1" t="s">
        <v>345</v>
      </c>
      <c r="J22" s="1" t="s">
        <v>345</v>
      </c>
    </row>
    <row r="23" spans="1:10" x14ac:dyDescent="0.25">
      <c r="A23" s="1" t="s">
        <v>90</v>
      </c>
      <c r="B23" s="14">
        <v>4</v>
      </c>
      <c r="C23" s="18">
        <v>2.2599999999999998</v>
      </c>
      <c r="D23" s="1" t="s">
        <v>645</v>
      </c>
      <c r="E23" s="1" t="s">
        <v>53</v>
      </c>
      <c r="F23" s="1" t="s">
        <v>755</v>
      </c>
      <c r="G23" s="1" t="s">
        <v>340</v>
      </c>
      <c r="H23" s="1" t="s">
        <v>142</v>
      </c>
      <c r="I23" s="1" t="s">
        <v>345</v>
      </c>
      <c r="J23" s="1" t="s">
        <v>345</v>
      </c>
    </row>
    <row r="24" spans="1:10" x14ac:dyDescent="0.25">
      <c r="A24" s="1" t="s">
        <v>654</v>
      </c>
      <c r="B24" s="14">
        <v>7</v>
      </c>
      <c r="C24" s="18">
        <v>2.2599999999999998</v>
      </c>
      <c r="D24" s="1" t="s">
        <v>645</v>
      </c>
      <c r="E24" s="1" t="s">
        <v>53</v>
      </c>
      <c r="F24" s="1" t="s">
        <v>755</v>
      </c>
      <c r="G24" s="1" t="s">
        <v>340</v>
      </c>
      <c r="H24" s="1" t="s">
        <v>143</v>
      </c>
      <c r="I24" s="1" t="s">
        <v>345</v>
      </c>
      <c r="J24" s="1" t="s">
        <v>345</v>
      </c>
    </row>
    <row r="25" spans="1:10" hidden="1" x14ac:dyDescent="0.25">
      <c r="A25" s="1" t="s">
        <v>91</v>
      </c>
      <c r="B25" s="15">
        <v>3</v>
      </c>
      <c r="C25" s="18">
        <v>1.69</v>
      </c>
      <c r="D25" s="1" t="s">
        <v>644</v>
      </c>
      <c r="E25" s="1" t="s">
        <v>53</v>
      </c>
      <c r="F25" s="1" t="s">
        <v>755</v>
      </c>
      <c r="G25" s="1" t="s">
        <v>340</v>
      </c>
      <c r="H25" s="1" t="s">
        <v>144</v>
      </c>
      <c r="I25" s="1" t="s">
        <v>345</v>
      </c>
      <c r="J25" s="1" t="s">
        <v>345</v>
      </c>
    </row>
    <row r="26" spans="1:10" x14ac:dyDescent="0.25">
      <c r="A26" s="1" t="s">
        <v>93</v>
      </c>
      <c r="B26" s="15">
        <v>3</v>
      </c>
      <c r="C26" s="18">
        <v>1.69</v>
      </c>
      <c r="D26" s="1" t="s">
        <v>645</v>
      </c>
      <c r="E26" s="1" t="s">
        <v>53</v>
      </c>
      <c r="F26" s="1" t="s">
        <v>755</v>
      </c>
      <c r="G26" s="1" t="s">
        <v>340</v>
      </c>
      <c r="H26" s="1" t="s">
        <v>145</v>
      </c>
      <c r="I26" s="1" t="s">
        <v>345</v>
      </c>
      <c r="J26" s="1" t="s">
        <v>345</v>
      </c>
    </row>
    <row r="27" spans="1:10" hidden="1" x14ac:dyDescent="0.25">
      <c r="A27" s="1" t="s">
        <v>563</v>
      </c>
      <c r="B27" s="15">
        <v>3</v>
      </c>
      <c r="C27" s="18">
        <v>1.69</v>
      </c>
      <c r="D27" s="1" t="s">
        <v>644</v>
      </c>
      <c r="E27" s="1" t="s">
        <v>53</v>
      </c>
      <c r="F27" s="1" t="s">
        <v>755</v>
      </c>
      <c r="G27" s="1" t="s">
        <v>340</v>
      </c>
      <c r="H27" s="1" t="s">
        <v>146</v>
      </c>
      <c r="I27" s="1" t="s">
        <v>345</v>
      </c>
      <c r="J27" s="1" t="s">
        <v>345</v>
      </c>
    </row>
    <row r="28" spans="1:10" x14ac:dyDescent="0.25">
      <c r="A28" s="1" t="s">
        <v>94</v>
      </c>
      <c r="B28" s="15">
        <v>3</v>
      </c>
      <c r="C28" s="18">
        <v>1.69</v>
      </c>
      <c r="D28" s="1" t="s">
        <v>645</v>
      </c>
      <c r="E28" s="1" t="s">
        <v>53</v>
      </c>
      <c r="F28" s="1" t="s">
        <v>755</v>
      </c>
      <c r="G28" s="1" t="s">
        <v>340</v>
      </c>
      <c r="H28" s="1" t="s">
        <v>147</v>
      </c>
      <c r="I28" s="1" t="s">
        <v>345</v>
      </c>
      <c r="J28" s="1" t="s">
        <v>345</v>
      </c>
    </row>
    <row r="29" spans="1:10" x14ac:dyDescent="0.25">
      <c r="A29" s="1" t="s">
        <v>655</v>
      </c>
      <c r="B29" s="15">
        <v>3</v>
      </c>
      <c r="C29" s="18">
        <v>1.69</v>
      </c>
      <c r="D29" s="1" t="s">
        <v>645</v>
      </c>
      <c r="E29" s="1" t="s">
        <v>53</v>
      </c>
      <c r="F29" s="1" t="s">
        <v>755</v>
      </c>
      <c r="G29" s="1" t="s">
        <v>340</v>
      </c>
      <c r="H29" s="1" t="s">
        <v>148</v>
      </c>
      <c r="I29" s="1" t="s">
        <v>345</v>
      </c>
      <c r="J29" s="1" t="s">
        <v>345</v>
      </c>
    </row>
    <row r="30" spans="1:10" x14ac:dyDescent="0.25">
      <c r="A30" s="1" t="s">
        <v>95</v>
      </c>
      <c r="B30" s="15">
        <v>2</v>
      </c>
      <c r="C30" s="18">
        <v>1.1299999999999999</v>
      </c>
      <c r="D30" s="1" t="s">
        <v>645</v>
      </c>
      <c r="E30" s="1" t="s">
        <v>53</v>
      </c>
      <c r="F30" s="1" t="s">
        <v>755</v>
      </c>
      <c r="G30" s="1" t="s">
        <v>340</v>
      </c>
      <c r="H30" s="1" t="s">
        <v>149</v>
      </c>
      <c r="I30" s="1" t="s">
        <v>345</v>
      </c>
      <c r="J30" s="1" t="s">
        <v>345</v>
      </c>
    </row>
    <row r="31" spans="1:10" x14ac:dyDescent="0.25">
      <c r="A31" s="1" t="s">
        <v>656</v>
      </c>
      <c r="B31" s="16">
        <v>2</v>
      </c>
      <c r="C31" s="18">
        <v>1.1299999999999999</v>
      </c>
      <c r="D31" s="1" t="s">
        <v>645</v>
      </c>
      <c r="E31" s="1" t="s">
        <v>53</v>
      </c>
      <c r="F31" s="1" t="s">
        <v>755</v>
      </c>
      <c r="G31" s="1" t="s">
        <v>340</v>
      </c>
      <c r="H31" s="1" t="s">
        <v>150</v>
      </c>
      <c r="I31" s="1" t="s">
        <v>345</v>
      </c>
      <c r="J31" s="1" t="s">
        <v>345</v>
      </c>
    </row>
    <row r="32" spans="1:10" x14ac:dyDescent="0.25">
      <c r="A32" s="1" t="s">
        <v>110</v>
      </c>
      <c r="B32" s="16">
        <v>2</v>
      </c>
      <c r="C32" s="18">
        <v>1.1299999999999999</v>
      </c>
      <c r="D32" s="1" t="s">
        <v>645</v>
      </c>
      <c r="E32" s="1" t="s">
        <v>53</v>
      </c>
      <c r="F32" s="1" t="s">
        <v>755</v>
      </c>
      <c r="G32" s="1" t="s">
        <v>340</v>
      </c>
      <c r="H32" s="1" t="s">
        <v>151</v>
      </c>
      <c r="I32" s="1" t="s">
        <v>345</v>
      </c>
      <c r="J32" s="1" t="s">
        <v>345</v>
      </c>
    </row>
    <row r="33" spans="1:10" hidden="1" x14ac:dyDescent="0.25">
      <c r="A33" s="1" t="s">
        <v>11</v>
      </c>
      <c r="B33" s="16">
        <v>2</v>
      </c>
      <c r="C33" s="18">
        <v>1.1299999999999999</v>
      </c>
      <c r="D33" s="1" t="s">
        <v>644</v>
      </c>
      <c r="E33" s="1" t="s">
        <v>53</v>
      </c>
      <c r="F33" s="1" t="s">
        <v>755</v>
      </c>
      <c r="G33" s="1" t="s">
        <v>340</v>
      </c>
      <c r="H33" s="1" t="s">
        <v>152</v>
      </c>
      <c r="I33" s="1" t="s">
        <v>345</v>
      </c>
      <c r="J33" s="1" t="s">
        <v>345</v>
      </c>
    </row>
    <row r="34" spans="1:10" hidden="1" x14ac:dyDescent="0.25">
      <c r="A34" s="1" t="s">
        <v>134</v>
      </c>
      <c r="B34" s="16">
        <v>2</v>
      </c>
      <c r="C34" s="18">
        <v>1.1299999999999999</v>
      </c>
      <c r="D34" s="1" t="s">
        <v>644</v>
      </c>
      <c r="E34" s="1" t="s">
        <v>53</v>
      </c>
      <c r="F34" s="1" t="s">
        <v>755</v>
      </c>
      <c r="G34" s="1" t="s">
        <v>340</v>
      </c>
      <c r="H34" s="1" t="s">
        <v>153</v>
      </c>
      <c r="I34" s="1" t="s">
        <v>345</v>
      </c>
      <c r="J34" s="1" t="s">
        <v>345</v>
      </c>
    </row>
    <row r="35" spans="1:10" x14ac:dyDescent="0.25">
      <c r="A35" s="1" t="s">
        <v>657</v>
      </c>
      <c r="B35" s="16">
        <v>2</v>
      </c>
      <c r="C35" s="18">
        <v>1.1299999999999999</v>
      </c>
      <c r="D35" s="1" t="s">
        <v>645</v>
      </c>
      <c r="E35" s="1" t="s">
        <v>53</v>
      </c>
      <c r="F35" s="1" t="s">
        <v>755</v>
      </c>
      <c r="G35" s="1" t="s">
        <v>340</v>
      </c>
      <c r="H35" s="1" t="s">
        <v>154</v>
      </c>
      <c r="I35" s="1" t="s">
        <v>345</v>
      </c>
      <c r="J35" s="1" t="s">
        <v>345</v>
      </c>
    </row>
    <row r="36" spans="1:10" x14ac:dyDescent="0.25">
      <c r="A36" s="1" t="s">
        <v>658</v>
      </c>
      <c r="B36" s="16">
        <v>2</v>
      </c>
      <c r="C36" s="18">
        <v>1.1299999999999999</v>
      </c>
      <c r="D36" s="1" t="s">
        <v>645</v>
      </c>
      <c r="E36" s="1" t="s">
        <v>53</v>
      </c>
      <c r="F36" s="1" t="s">
        <v>755</v>
      </c>
      <c r="G36" s="1" t="s">
        <v>340</v>
      </c>
      <c r="H36" s="1" t="s">
        <v>155</v>
      </c>
      <c r="I36" s="1" t="s">
        <v>345</v>
      </c>
      <c r="J36" s="1" t="s">
        <v>345</v>
      </c>
    </row>
    <row r="37" spans="1:10" x14ac:dyDescent="0.25">
      <c r="A37" s="1" t="s">
        <v>96</v>
      </c>
      <c r="B37" s="16">
        <v>1</v>
      </c>
      <c r="C37" s="18">
        <v>0.56000000000000005</v>
      </c>
      <c r="D37" s="1" t="s">
        <v>645</v>
      </c>
      <c r="E37" s="1" t="s">
        <v>53</v>
      </c>
      <c r="F37" s="1" t="s">
        <v>755</v>
      </c>
      <c r="G37" s="1" t="s">
        <v>340</v>
      </c>
      <c r="H37" s="1" t="s">
        <v>156</v>
      </c>
      <c r="I37" s="1" t="s">
        <v>345</v>
      </c>
      <c r="J37" s="1" t="s">
        <v>345</v>
      </c>
    </row>
    <row r="38" spans="1:10" x14ac:dyDescent="0.25">
      <c r="A38" s="1" t="s">
        <v>1005</v>
      </c>
      <c r="B38" s="16">
        <v>1</v>
      </c>
      <c r="C38" s="18">
        <v>0.56000000000000005</v>
      </c>
      <c r="D38" s="1" t="s">
        <v>645</v>
      </c>
      <c r="E38" s="1" t="s">
        <v>53</v>
      </c>
      <c r="F38" s="1" t="s">
        <v>755</v>
      </c>
      <c r="G38" s="1" t="s">
        <v>340</v>
      </c>
      <c r="H38" s="1" t="s">
        <v>157</v>
      </c>
      <c r="I38" s="1" t="s">
        <v>345</v>
      </c>
      <c r="J38" s="1" t="s">
        <v>345</v>
      </c>
    </row>
    <row r="39" spans="1:10" x14ac:dyDescent="0.25">
      <c r="A39" s="1" t="s">
        <v>97</v>
      </c>
      <c r="B39" s="16">
        <v>1</v>
      </c>
      <c r="C39" s="18">
        <v>0.56000000000000005</v>
      </c>
      <c r="D39" s="1" t="s">
        <v>645</v>
      </c>
      <c r="E39" s="1" t="s">
        <v>53</v>
      </c>
      <c r="F39" s="1" t="s">
        <v>755</v>
      </c>
      <c r="G39" s="1" t="s">
        <v>340</v>
      </c>
      <c r="H39" s="1" t="s">
        <v>158</v>
      </c>
      <c r="I39" s="1" t="s">
        <v>345</v>
      </c>
      <c r="J39" s="1" t="s">
        <v>345</v>
      </c>
    </row>
    <row r="40" spans="1:10" x14ac:dyDescent="0.25">
      <c r="A40" s="1" t="s">
        <v>659</v>
      </c>
      <c r="B40" s="16">
        <v>1</v>
      </c>
      <c r="C40" s="18">
        <v>0.56000000000000005</v>
      </c>
      <c r="D40" s="1" t="s">
        <v>645</v>
      </c>
      <c r="E40" s="1" t="s">
        <v>53</v>
      </c>
      <c r="F40" s="1" t="s">
        <v>755</v>
      </c>
      <c r="G40" s="1" t="s">
        <v>340</v>
      </c>
      <c r="H40" s="1" t="s">
        <v>159</v>
      </c>
      <c r="I40" s="1" t="s">
        <v>345</v>
      </c>
      <c r="J40" s="1" t="s">
        <v>345</v>
      </c>
    </row>
    <row r="41" spans="1:10" x14ac:dyDescent="0.25">
      <c r="A41" s="1" t="s">
        <v>98</v>
      </c>
      <c r="B41" s="16">
        <v>1</v>
      </c>
      <c r="C41" s="18">
        <v>0.56000000000000005</v>
      </c>
      <c r="D41" s="1" t="s">
        <v>645</v>
      </c>
      <c r="E41" s="1" t="s">
        <v>53</v>
      </c>
      <c r="F41" s="1" t="s">
        <v>755</v>
      </c>
      <c r="G41" s="1" t="s">
        <v>340</v>
      </c>
      <c r="H41" s="1" t="s">
        <v>160</v>
      </c>
      <c r="I41" s="1" t="s">
        <v>345</v>
      </c>
      <c r="J41" s="1" t="s">
        <v>345</v>
      </c>
    </row>
    <row r="42" spans="1:10" x14ac:dyDescent="0.25">
      <c r="A42" s="1" t="s">
        <v>99</v>
      </c>
      <c r="B42" s="16">
        <v>1</v>
      </c>
      <c r="C42" s="18">
        <v>0.56000000000000005</v>
      </c>
      <c r="D42" s="1" t="s">
        <v>645</v>
      </c>
      <c r="E42" s="1" t="s">
        <v>53</v>
      </c>
      <c r="F42" s="1" t="s">
        <v>755</v>
      </c>
      <c r="G42" s="1" t="s">
        <v>340</v>
      </c>
      <c r="H42" s="1" t="s">
        <v>161</v>
      </c>
      <c r="I42" s="1" t="s">
        <v>345</v>
      </c>
      <c r="J42" s="1" t="s">
        <v>345</v>
      </c>
    </row>
    <row r="43" spans="1:10" x14ac:dyDescent="0.25">
      <c r="A43" s="1" t="s">
        <v>660</v>
      </c>
      <c r="B43" s="16">
        <v>1</v>
      </c>
      <c r="C43" s="18">
        <v>0.56000000000000005</v>
      </c>
      <c r="D43" s="1" t="s">
        <v>645</v>
      </c>
      <c r="E43" s="1" t="s">
        <v>53</v>
      </c>
      <c r="F43" s="1" t="s">
        <v>755</v>
      </c>
      <c r="G43" s="1" t="s">
        <v>340</v>
      </c>
      <c r="H43" s="1" t="s">
        <v>162</v>
      </c>
      <c r="I43" s="1" t="s">
        <v>345</v>
      </c>
      <c r="J43" s="1" t="s">
        <v>345</v>
      </c>
    </row>
    <row r="44" spans="1:10" x14ac:dyDescent="0.25">
      <c r="A44" s="1" t="s">
        <v>100</v>
      </c>
      <c r="B44" s="16">
        <v>1</v>
      </c>
      <c r="C44" s="18">
        <v>0.56000000000000005</v>
      </c>
      <c r="D44" s="1" t="s">
        <v>645</v>
      </c>
      <c r="E44" s="1" t="s">
        <v>53</v>
      </c>
      <c r="F44" s="1" t="s">
        <v>755</v>
      </c>
      <c r="G44" s="1" t="s">
        <v>340</v>
      </c>
      <c r="H44" s="1" t="s">
        <v>163</v>
      </c>
      <c r="I44" s="1" t="s">
        <v>345</v>
      </c>
      <c r="J44" s="1" t="s">
        <v>345</v>
      </c>
    </row>
    <row r="45" spans="1:10" x14ac:dyDescent="0.25">
      <c r="A45" s="1" t="s">
        <v>101</v>
      </c>
      <c r="B45" s="16">
        <v>2</v>
      </c>
      <c r="C45" s="18">
        <v>0.56000000000000005</v>
      </c>
      <c r="D45" s="1" t="s">
        <v>645</v>
      </c>
      <c r="E45" s="1" t="s">
        <v>53</v>
      </c>
      <c r="F45" s="1" t="s">
        <v>755</v>
      </c>
      <c r="G45" s="1" t="s">
        <v>340</v>
      </c>
      <c r="H45" s="1" t="s">
        <v>164</v>
      </c>
      <c r="I45" s="1" t="s">
        <v>345</v>
      </c>
      <c r="J45" s="1" t="s">
        <v>345</v>
      </c>
    </row>
    <row r="46" spans="1:10" x14ac:dyDescent="0.25">
      <c r="A46" s="1" t="s">
        <v>102</v>
      </c>
      <c r="B46" s="16">
        <v>1</v>
      </c>
      <c r="C46" s="18">
        <v>0.56000000000000005</v>
      </c>
      <c r="D46" s="1" t="s">
        <v>645</v>
      </c>
      <c r="E46" s="1" t="s">
        <v>53</v>
      </c>
      <c r="F46" s="1" t="s">
        <v>755</v>
      </c>
      <c r="G46" s="1" t="s">
        <v>340</v>
      </c>
      <c r="H46" s="1" t="s">
        <v>165</v>
      </c>
      <c r="I46" s="1" t="s">
        <v>345</v>
      </c>
      <c r="J46" s="1" t="s">
        <v>345</v>
      </c>
    </row>
    <row r="47" spans="1:10" x14ac:dyDescent="0.25">
      <c r="A47" s="1" t="s">
        <v>103</v>
      </c>
      <c r="B47" s="16">
        <v>1</v>
      </c>
      <c r="C47" s="18">
        <v>0.56000000000000005</v>
      </c>
      <c r="D47" s="1" t="s">
        <v>645</v>
      </c>
      <c r="E47" s="1" t="s">
        <v>53</v>
      </c>
      <c r="F47" s="1" t="s">
        <v>755</v>
      </c>
      <c r="G47" s="1" t="s">
        <v>340</v>
      </c>
      <c r="H47" s="1" t="s">
        <v>168</v>
      </c>
      <c r="I47" s="1" t="s">
        <v>345</v>
      </c>
      <c r="J47" s="1" t="s">
        <v>345</v>
      </c>
    </row>
    <row r="48" spans="1:10" x14ac:dyDescent="0.25">
      <c r="A48" s="1" t="s">
        <v>104</v>
      </c>
      <c r="B48" s="16">
        <v>1</v>
      </c>
      <c r="C48" s="18">
        <v>0.56000000000000005</v>
      </c>
      <c r="D48" s="1" t="s">
        <v>645</v>
      </c>
      <c r="E48" s="1" t="s">
        <v>53</v>
      </c>
      <c r="F48" s="1" t="s">
        <v>755</v>
      </c>
      <c r="G48" s="1" t="s">
        <v>340</v>
      </c>
      <c r="H48" s="1" t="s">
        <v>169</v>
      </c>
      <c r="I48" s="1" t="s">
        <v>345</v>
      </c>
      <c r="J48" s="1" t="s">
        <v>345</v>
      </c>
    </row>
    <row r="49" spans="1:10" x14ac:dyDescent="0.25">
      <c r="A49" s="1" t="s">
        <v>105</v>
      </c>
      <c r="B49" s="16">
        <v>1</v>
      </c>
      <c r="C49" s="18">
        <v>0.56000000000000005</v>
      </c>
      <c r="D49" s="1" t="s">
        <v>645</v>
      </c>
      <c r="E49" s="1" t="s">
        <v>53</v>
      </c>
      <c r="F49" s="1" t="s">
        <v>755</v>
      </c>
      <c r="G49" s="1" t="s">
        <v>340</v>
      </c>
      <c r="H49" s="1" t="s">
        <v>170</v>
      </c>
      <c r="I49" s="1" t="s">
        <v>345</v>
      </c>
      <c r="J49" s="1" t="s">
        <v>345</v>
      </c>
    </row>
    <row r="50" spans="1:10" x14ac:dyDescent="0.25">
      <c r="A50" s="1" t="s">
        <v>106</v>
      </c>
      <c r="B50" s="16">
        <v>1</v>
      </c>
      <c r="C50" s="18">
        <v>0.56000000000000005</v>
      </c>
      <c r="D50" s="1" t="s">
        <v>645</v>
      </c>
      <c r="E50" s="1" t="s">
        <v>53</v>
      </c>
      <c r="F50" s="1" t="s">
        <v>755</v>
      </c>
      <c r="G50" s="1" t="s">
        <v>340</v>
      </c>
      <c r="H50" s="1" t="s">
        <v>171</v>
      </c>
      <c r="I50" s="1" t="s">
        <v>345</v>
      </c>
      <c r="J50" s="1" t="s">
        <v>345</v>
      </c>
    </row>
    <row r="51" spans="1:10" x14ac:dyDescent="0.25">
      <c r="A51" s="1" t="s">
        <v>107</v>
      </c>
      <c r="B51" s="16">
        <v>1</v>
      </c>
      <c r="C51" s="18">
        <v>0.56000000000000005</v>
      </c>
      <c r="D51" s="1" t="s">
        <v>645</v>
      </c>
      <c r="E51" s="1" t="s">
        <v>53</v>
      </c>
      <c r="F51" s="1" t="s">
        <v>755</v>
      </c>
      <c r="G51" s="1" t="s">
        <v>340</v>
      </c>
      <c r="H51" s="1" t="s">
        <v>172</v>
      </c>
      <c r="I51" s="1" t="s">
        <v>345</v>
      </c>
      <c r="J51" s="1" t="s">
        <v>345</v>
      </c>
    </row>
    <row r="52" spans="1:10" ht="16.5" x14ac:dyDescent="0.25">
      <c r="A52" s="1" t="s">
        <v>108</v>
      </c>
      <c r="B52" s="16">
        <v>1</v>
      </c>
      <c r="C52" s="18">
        <v>0.56000000000000005</v>
      </c>
      <c r="D52" s="1" t="s">
        <v>645</v>
      </c>
      <c r="E52" s="1" t="s">
        <v>53</v>
      </c>
      <c r="F52" s="1" t="s">
        <v>755</v>
      </c>
      <c r="G52" s="1" t="s">
        <v>340</v>
      </c>
      <c r="H52" s="4" t="s">
        <v>173</v>
      </c>
      <c r="I52" s="1" t="s">
        <v>345</v>
      </c>
      <c r="J52" s="1" t="s">
        <v>345</v>
      </c>
    </row>
    <row r="53" spans="1:10" ht="16.5" x14ac:dyDescent="0.25">
      <c r="A53" s="1" t="s">
        <v>109</v>
      </c>
      <c r="B53" s="16">
        <v>1</v>
      </c>
      <c r="C53" s="18">
        <v>0.56000000000000005</v>
      </c>
      <c r="D53" s="1" t="s">
        <v>645</v>
      </c>
      <c r="E53" s="1" t="s">
        <v>53</v>
      </c>
      <c r="F53" s="1" t="s">
        <v>755</v>
      </c>
      <c r="G53" s="1" t="s">
        <v>340</v>
      </c>
      <c r="H53" s="4" t="s">
        <v>174</v>
      </c>
      <c r="I53" s="1" t="s">
        <v>345</v>
      </c>
      <c r="J53" s="1" t="s">
        <v>345</v>
      </c>
    </row>
    <row r="54" spans="1:10" ht="16.5" x14ac:dyDescent="0.25">
      <c r="A54" s="1" t="s">
        <v>111</v>
      </c>
      <c r="B54" s="16">
        <v>1</v>
      </c>
      <c r="C54" s="18">
        <v>0.56000000000000005</v>
      </c>
      <c r="D54" s="1" t="s">
        <v>645</v>
      </c>
      <c r="E54" s="1" t="s">
        <v>53</v>
      </c>
      <c r="F54" s="1" t="s">
        <v>755</v>
      </c>
      <c r="G54" s="1" t="s">
        <v>340</v>
      </c>
      <c r="H54" s="4" t="s">
        <v>175</v>
      </c>
      <c r="I54" s="1" t="s">
        <v>345</v>
      </c>
      <c r="J54" s="1" t="s">
        <v>345</v>
      </c>
    </row>
    <row r="55" spans="1:10" ht="16.5" x14ac:dyDescent="0.25">
      <c r="A55" s="1" t="s">
        <v>1003</v>
      </c>
      <c r="B55" s="16">
        <v>1</v>
      </c>
      <c r="C55" s="18">
        <v>0.56000000000000005</v>
      </c>
      <c r="D55" s="1" t="s">
        <v>645</v>
      </c>
      <c r="E55" s="1" t="s">
        <v>53</v>
      </c>
      <c r="F55" s="1" t="s">
        <v>755</v>
      </c>
      <c r="G55" s="1" t="s">
        <v>340</v>
      </c>
      <c r="H55" s="4" t="s">
        <v>1004</v>
      </c>
      <c r="I55" s="1" t="s">
        <v>345</v>
      </c>
      <c r="J55" s="1" t="s">
        <v>345</v>
      </c>
    </row>
    <row r="56" spans="1:10" ht="16.5" x14ac:dyDescent="0.25">
      <c r="A56" s="1" t="s">
        <v>112</v>
      </c>
      <c r="B56" s="16">
        <v>1</v>
      </c>
      <c r="C56" s="18">
        <v>0.56000000000000005</v>
      </c>
      <c r="D56" s="1" t="s">
        <v>645</v>
      </c>
      <c r="E56" s="1" t="s">
        <v>53</v>
      </c>
      <c r="F56" s="1" t="s">
        <v>755</v>
      </c>
      <c r="G56" s="1" t="s">
        <v>340</v>
      </c>
      <c r="H56" s="4" t="s">
        <v>176</v>
      </c>
      <c r="I56" s="1" t="s">
        <v>345</v>
      </c>
      <c r="J56" s="1" t="s">
        <v>345</v>
      </c>
    </row>
    <row r="57" spans="1:10" ht="16.5" x14ac:dyDescent="0.25">
      <c r="A57" s="1" t="s">
        <v>661</v>
      </c>
      <c r="B57" s="16">
        <v>1</v>
      </c>
      <c r="C57" s="18">
        <v>0.56000000000000005</v>
      </c>
      <c r="D57" s="1" t="s">
        <v>645</v>
      </c>
      <c r="E57" s="1" t="s">
        <v>53</v>
      </c>
      <c r="F57" s="1" t="s">
        <v>755</v>
      </c>
      <c r="G57" s="1" t="s">
        <v>340</v>
      </c>
      <c r="H57" s="4" t="s">
        <v>177</v>
      </c>
      <c r="I57" s="1" t="s">
        <v>345</v>
      </c>
      <c r="J57" s="1" t="s">
        <v>345</v>
      </c>
    </row>
    <row r="58" spans="1:10" ht="16.5" x14ac:dyDescent="0.25">
      <c r="A58" s="1" t="s">
        <v>113</v>
      </c>
      <c r="B58" s="16">
        <v>1</v>
      </c>
      <c r="C58" s="18">
        <v>0.56000000000000005</v>
      </c>
      <c r="D58" s="1" t="s">
        <v>645</v>
      </c>
      <c r="E58" s="1" t="s">
        <v>53</v>
      </c>
      <c r="F58" s="1" t="s">
        <v>755</v>
      </c>
      <c r="G58" s="1" t="s">
        <v>340</v>
      </c>
      <c r="H58" s="4" t="s">
        <v>178</v>
      </c>
      <c r="I58" s="1" t="s">
        <v>345</v>
      </c>
      <c r="J58" s="1" t="s">
        <v>345</v>
      </c>
    </row>
    <row r="59" spans="1:10" ht="16.5" x14ac:dyDescent="0.25">
      <c r="A59" s="1" t="s">
        <v>114</v>
      </c>
      <c r="B59" s="16">
        <v>1</v>
      </c>
      <c r="C59" s="18">
        <v>0.56000000000000005</v>
      </c>
      <c r="D59" s="1" t="s">
        <v>645</v>
      </c>
      <c r="E59" s="1" t="s">
        <v>53</v>
      </c>
      <c r="F59" s="1" t="s">
        <v>755</v>
      </c>
      <c r="G59" s="1" t="s">
        <v>340</v>
      </c>
      <c r="H59" s="4" t="s">
        <v>179</v>
      </c>
      <c r="I59" s="1" t="s">
        <v>345</v>
      </c>
      <c r="J59" s="1" t="s">
        <v>345</v>
      </c>
    </row>
    <row r="60" spans="1:10" ht="16.5" x14ac:dyDescent="0.25">
      <c r="A60" s="1" t="s">
        <v>115</v>
      </c>
      <c r="B60" s="16">
        <v>1</v>
      </c>
      <c r="C60" s="18">
        <v>0.56000000000000005</v>
      </c>
      <c r="D60" s="1" t="s">
        <v>645</v>
      </c>
      <c r="E60" s="1" t="s">
        <v>53</v>
      </c>
      <c r="F60" s="1" t="s">
        <v>755</v>
      </c>
      <c r="G60" s="1" t="s">
        <v>340</v>
      </c>
      <c r="H60" s="4" t="s">
        <v>180</v>
      </c>
      <c r="I60" s="1" t="s">
        <v>345</v>
      </c>
      <c r="J60" s="1" t="s">
        <v>345</v>
      </c>
    </row>
    <row r="61" spans="1:10" ht="16.5" x14ac:dyDescent="0.25">
      <c r="A61" s="1" t="s">
        <v>116</v>
      </c>
      <c r="B61" s="16">
        <v>1</v>
      </c>
      <c r="C61" s="18">
        <v>0.56000000000000005</v>
      </c>
      <c r="D61" s="1" t="s">
        <v>645</v>
      </c>
      <c r="E61" s="1" t="s">
        <v>53</v>
      </c>
      <c r="F61" s="1" t="s">
        <v>755</v>
      </c>
      <c r="G61" s="1" t="s">
        <v>340</v>
      </c>
      <c r="H61" s="4" t="s">
        <v>181</v>
      </c>
      <c r="I61" s="1" t="s">
        <v>345</v>
      </c>
      <c r="J61" s="1" t="s">
        <v>345</v>
      </c>
    </row>
    <row r="62" spans="1:10" ht="16.5" x14ac:dyDescent="0.25">
      <c r="A62" s="1" t="s">
        <v>117</v>
      </c>
      <c r="B62" s="16">
        <v>1</v>
      </c>
      <c r="C62" s="18">
        <v>0.56000000000000005</v>
      </c>
      <c r="D62" s="1" t="s">
        <v>645</v>
      </c>
      <c r="E62" s="1" t="s">
        <v>53</v>
      </c>
      <c r="F62" s="1" t="s">
        <v>755</v>
      </c>
      <c r="G62" s="1" t="s">
        <v>340</v>
      </c>
      <c r="H62" s="4" t="s">
        <v>182</v>
      </c>
      <c r="I62" s="1" t="s">
        <v>345</v>
      </c>
      <c r="J62" s="1" t="s">
        <v>345</v>
      </c>
    </row>
    <row r="63" spans="1:10" ht="16.5" x14ac:dyDescent="0.25">
      <c r="A63" s="1" t="s">
        <v>662</v>
      </c>
      <c r="B63" s="16">
        <v>1</v>
      </c>
      <c r="C63" s="18">
        <v>0.56000000000000005</v>
      </c>
      <c r="D63" s="1" t="s">
        <v>645</v>
      </c>
      <c r="E63" s="1" t="s">
        <v>53</v>
      </c>
      <c r="F63" s="1" t="s">
        <v>755</v>
      </c>
      <c r="G63" s="1" t="s">
        <v>340</v>
      </c>
      <c r="H63" s="4" t="s">
        <v>183</v>
      </c>
      <c r="I63" s="1" t="s">
        <v>345</v>
      </c>
      <c r="J63" s="1" t="s">
        <v>345</v>
      </c>
    </row>
    <row r="64" spans="1:10" ht="16.5" x14ac:dyDescent="0.25">
      <c r="A64" s="1" t="s">
        <v>663</v>
      </c>
      <c r="B64" s="16">
        <v>1</v>
      </c>
      <c r="C64" s="18">
        <v>0.56000000000000005</v>
      </c>
      <c r="D64" s="1" t="s">
        <v>645</v>
      </c>
      <c r="E64" s="1" t="s">
        <v>53</v>
      </c>
      <c r="F64" s="1" t="s">
        <v>755</v>
      </c>
      <c r="G64" s="1" t="s">
        <v>340</v>
      </c>
      <c r="H64" s="4" t="s">
        <v>184</v>
      </c>
      <c r="I64" s="1" t="s">
        <v>345</v>
      </c>
      <c r="J64" s="1" t="s">
        <v>345</v>
      </c>
    </row>
    <row r="65" spans="1:10" ht="16.5" x14ac:dyDescent="0.25">
      <c r="A65" s="1" t="s">
        <v>664</v>
      </c>
      <c r="B65" s="16">
        <v>1</v>
      </c>
      <c r="C65" s="18">
        <v>0.56000000000000005</v>
      </c>
      <c r="D65" s="1" t="s">
        <v>645</v>
      </c>
      <c r="E65" s="1" t="s">
        <v>53</v>
      </c>
      <c r="F65" s="1" t="s">
        <v>755</v>
      </c>
      <c r="G65" s="1" t="s">
        <v>340</v>
      </c>
      <c r="H65" s="4" t="s">
        <v>185</v>
      </c>
      <c r="I65" s="1" t="s">
        <v>345</v>
      </c>
      <c r="J65" s="1" t="s">
        <v>345</v>
      </c>
    </row>
    <row r="66" spans="1:10" ht="16.5" x14ac:dyDescent="0.25">
      <c r="A66" s="1" t="s">
        <v>665</v>
      </c>
      <c r="B66" s="16">
        <v>1</v>
      </c>
      <c r="C66" s="18">
        <v>0.56000000000000005</v>
      </c>
      <c r="D66" s="1" t="s">
        <v>645</v>
      </c>
      <c r="E66" s="1" t="s">
        <v>53</v>
      </c>
      <c r="F66" s="1" t="s">
        <v>755</v>
      </c>
      <c r="G66" s="1" t="s">
        <v>340</v>
      </c>
      <c r="H66" s="4" t="s">
        <v>186</v>
      </c>
      <c r="I66" s="1" t="s">
        <v>345</v>
      </c>
      <c r="J66" s="1" t="s">
        <v>345</v>
      </c>
    </row>
    <row r="67" spans="1:10" ht="16.5" x14ac:dyDescent="0.25">
      <c r="A67" s="1" t="s">
        <v>666</v>
      </c>
      <c r="B67" s="16">
        <v>1</v>
      </c>
      <c r="C67" s="18">
        <v>0.56000000000000005</v>
      </c>
      <c r="D67" s="1" t="s">
        <v>645</v>
      </c>
      <c r="E67" s="1" t="s">
        <v>53</v>
      </c>
      <c r="F67" s="1" t="s">
        <v>755</v>
      </c>
      <c r="G67" s="1" t="s">
        <v>340</v>
      </c>
      <c r="H67" s="4" t="s">
        <v>187</v>
      </c>
      <c r="I67" s="1" t="s">
        <v>345</v>
      </c>
      <c r="J67" s="1" t="s">
        <v>345</v>
      </c>
    </row>
    <row r="68" spans="1:10" ht="16.5" x14ac:dyDescent="0.25">
      <c r="A68" s="1" t="s">
        <v>667</v>
      </c>
      <c r="B68" s="16">
        <v>1</v>
      </c>
      <c r="C68" s="18">
        <v>0.56000000000000005</v>
      </c>
      <c r="D68" s="1" t="s">
        <v>645</v>
      </c>
      <c r="E68" s="1" t="s">
        <v>53</v>
      </c>
      <c r="F68" s="1" t="s">
        <v>755</v>
      </c>
      <c r="G68" s="1" t="s">
        <v>340</v>
      </c>
      <c r="H68" s="4" t="s">
        <v>188</v>
      </c>
      <c r="I68" s="1" t="s">
        <v>345</v>
      </c>
      <c r="J68" s="1" t="s">
        <v>345</v>
      </c>
    </row>
    <row r="69" spans="1:10" ht="16.5" x14ac:dyDescent="0.25">
      <c r="A69" s="1" t="s">
        <v>668</v>
      </c>
      <c r="B69" s="16">
        <v>1</v>
      </c>
      <c r="C69" s="18">
        <v>0.56000000000000005</v>
      </c>
      <c r="D69" s="1" t="s">
        <v>645</v>
      </c>
      <c r="E69" s="1" t="s">
        <v>53</v>
      </c>
      <c r="F69" s="1" t="s">
        <v>755</v>
      </c>
      <c r="G69" s="1" t="s">
        <v>340</v>
      </c>
      <c r="H69" s="4" t="s">
        <v>189</v>
      </c>
      <c r="I69" s="1" t="s">
        <v>345</v>
      </c>
      <c r="J69" s="1" t="s">
        <v>345</v>
      </c>
    </row>
    <row r="70" spans="1:10" ht="16.5" x14ac:dyDescent="0.25">
      <c r="A70" s="1" t="s">
        <v>669</v>
      </c>
      <c r="B70" s="16">
        <v>1</v>
      </c>
      <c r="C70" s="18">
        <v>0.56000000000000005</v>
      </c>
      <c r="D70" s="1" t="s">
        <v>645</v>
      </c>
      <c r="E70" s="1" t="s">
        <v>53</v>
      </c>
      <c r="F70" s="1" t="s">
        <v>755</v>
      </c>
      <c r="G70" s="1" t="s">
        <v>340</v>
      </c>
      <c r="H70" s="4" t="s">
        <v>190</v>
      </c>
      <c r="I70" s="1" t="s">
        <v>345</v>
      </c>
      <c r="J70" s="1" t="s">
        <v>345</v>
      </c>
    </row>
    <row r="71" spans="1:10" ht="16.5" x14ac:dyDescent="0.25">
      <c r="A71" s="1" t="s">
        <v>670</v>
      </c>
      <c r="B71" s="16">
        <v>1</v>
      </c>
      <c r="C71" s="18">
        <v>0.56000000000000005</v>
      </c>
      <c r="D71" s="1" t="s">
        <v>645</v>
      </c>
      <c r="E71" s="1" t="s">
        <v>53</v>
      </c>
      <c r="F71" s="1" t="s">
        <v>755</v>
      </c>
      <c r="G71" s="1" t="s">
        <v>340</v>
      </c>
      <c r="H71" s="4" t="s">
        <v>191</v>
      </c>
      <c r="I71" s="1" t="s">
        <v>345</v>
      </c>
      <c r="J71" s="1" t="s">
        <v>345</v>
      </c>
    </row>
    <row r="72" spans="1:10" ht="16.5" x14ac:dyDescent="0.25">
      <c r="A72" s="1" t="s">
        <v>671</v>
      </c>
      <c r="B72" s="16">
        <v>1</v>
      </c>
      <c r="C72" s="18">
        <v>0.56000000000000005</v>
      </c>
      <c r="D72" s="1" t="s">
        <v>645</v>
      </c>
      <c r="E72" s="1" t="s">
        <v>53</v>
      </c>
      <c r="F72" s="1" t="s">
        <v>755</v>
      </c>
      <c r="G72" s="1" t="s">
        <v>340</v>
      </c>
      <c r="H72" s="4" t="s">
        <v>192</v>
      </c>
      <c r="I72" s="1" t="s">
        <v>345</v>
      </c>
      <c r="J72" s="1" t="s">
        <v>345</v>
      </c>
    </row>
    <row r="73" spans="1:10" ht="16.5" x14ac:dyDescent="0.25">
      <c r="A73" s="1" t="s">
        <v>672</v>
      </c>
      <c r="B73" s="16">
        <v>1</v>
      </c>
      <c r="C73" s="18">
        <v>0.56000000000000005</v>
      </c>
      <c r="D73" s="1" t="s">
        <v>645</v>
      </c>
      <c r="E73" s="1" t="s">
        <v>53</v>
      </c>
      <c r="F73" s="1" t="s">
        <v>755</v>
      </c>
      <c r="G73" s="1" t="s">
        <v>340</v>
      </c>
      <c r="H73" s="4" t="s">
        <v>193</v>
      </c>
      <c r="I73" s="1" t="s">
        <v>345</v>
      </c>
      <c r="J73" s="1" t="s">
        <v>345</v>
      </c>
    </row>
    <row r="74" spans="1:10" ht="16.5" x14ac:dyDescent="0.25">
      <c r="A74" s="1" t="s">
        <v>673</v>
      </c>
      <c r="B74" s="16">
        <v>1</v>
      </c>
      <c r="C74" s="18">
        <v>0.56000000000000005</v>
      </c>
      <c r="D74" s="1" t="s">
        <v>645</v>
      </c>
      <c r="E74" s="1" t="s">
        <v>53</v>
      </c>
      <c r="F74" s="1" t="s">
        <v>755</v>
      </c>
      <c r="G74" s="1" t="s">
        <v>340</v>
      </c>
      <c r="H74" s="4" t="s">
        <v>194</v>
      </c>
      <c r="I74" s="1" t="s">
        <v>345</v>
      </c>
      <c r="J74" s="1" t="s">
        <v>345</v>
      </c>
    </row>
    <row r="75" spans="1:10" ht="16.5" x14ac:dyDescent="0.25">
      <c r="A75" s="1" t="s">
        <v>674</v>
      </c>
      <c r="B75" s="16">
        <v>1</v>
      </c>
      <c r="C75" s="18">
        <v>0.56000000000000005</v>
      </c>
      <c r="D75" s="1" t="s">
        <v>645</v>
      </c>
      <c r="E75" s="1" t="s">
        <v>53</v>
      </c>
      <c r="F75" s="1" t="s">
        <v>755</v>
      </c>
      <c r="G75" s="1" t="s">
        <v>340</v>
      </c>
      <c r="H75" s="4" t="s">
        <v>195</v>
      </c>
      <c r="I75" s="1" t="s">
        <v>345</v>
      </c>
      <c r="J75" s="1" t="s">
        <v>345</v>
      </c>
    </row>
    <row r="76" spans="1:10" ht="16.5" x14ac:dyDescent="0.25">
      <c r="A76" s="1" t="s">
        <v>675</v>
      </c>
      <c r="B76" s="16">
        <v>1</v>
      </c>
      <c r="C76" s="18">
        <v>0.56000000000000005</v>
      </c>
      <c r="D76" s="1" t="s">
        <v>645</v>
      </c>
      <c r="E76" s="1" t="s">
        <v>53</v>
      </c>
      <c r="F76" s="1" t="s">
        <v>755</v>
      </c>
      <c r="G76" s="1" t="s">
        <v>340</v>
      </c>
      <c r="H76" s="4" t="s">
        <v>196</v>
      </c>
      <c r="I76" s="1" t="s">
        <v>345</v>
      </c>
      <c r="J76" s="1" t="s">
        <v>345</v>
      </c>
    </row>
    <row r="77" spans="1:10" ht="16.5" x14ac:dyDescent="0.25">
      <c r="A77" s="1" t="s">
        <v>676</v>
      </c>
      <c r="B77" s="16">
        <v>1</v>
      </c>
      <c r="C77" s="18">
        <v>0.56000000000000005</v>
      </c>
      <c r="D77" s="1" t="s">
        <v>645</v>
      </c>
      <c r="E77" s="1" t="s">
        <v>53</v>
      </c>
      <c r="F77" s="1" t="s">
        <v>755</v>
      </c>
      <c r="G77" s="1" t="s">
        <v>340</v>
      </c>
      <c r="H77" s="4" t="s">
        <v>197</v>
      </c>
      <c r="I77" s="1" t="s">
        <v>345</v>
      </c>
      <c r="J77" s="1" t="s">
        <v>345</v>
      </c>
    </row>
    <row r="78" spans="1:10" ht="16.5" hidden="1" x14ac:dyDescent="0.25">
      <c r="A78" s="1" t="s">
        <v>648</v>
      </c>
      <c r="B78" s="16">
        <v>1</v>
      </c>
      <c r="C78" s="18">
        <v>0.56000000000000005</v>
      </c>
      <c r="D78" s="1" t="s">
        <v>644</v>
      </c>
      <c r="E78" s="1" t="s">
        <v>53</v>
      </c>
      <c r="F78" s="1" t="s">
        <v>755</v>
      </c>
      <c r="G78" s="1" t="s">
        <v>340</v>
      </c>
      <c r="H78" s="4" t="s">
        <v>198</v>
      </c>
      <c r="I78" s="1" t="s">
        <v>345</v>
      </c>
      <c r="J78" s="1" t="s">
        <v>345</v>
      </c>
    </row>
    <row r="79" spans="1:10" ht="16.5" x14ac:dyDescent="0.25">
      <c r="A79" s="1" t="s">
        <v>677</v>
      </c>
      <c r="B79" s="16">
        <v>1</v>
      </c>
      <c r="C79" s="18">
        <v>0.56000000000000005</v>
      </c>
      <c r="D79" s="1" t="s">
        <v>645</v>
      </c>
      <c r="E79" s="1" t="s">
        <v>53</v>
      </c>
      <c r="F79" s="1" t="s">
        <v>755</v>
      </c>
      <c r="G79" s="1" t="s">
        <v>340</v>
      </c>
      <c r="H79" s="4" t="s">
        <v>199</v>
      </c>
      <c r="I79" s="1" t="s">
        <v>345</v>
      </c>
      <c r="J79" s="1" t="s">
        <v>345</v>
      </c>
    </row>
    <row r="80" spans="1:10" ht="16.5" x14ac:dyDescent="0.25">
      <c r="A80" s="1" t="s">
        <v>678</v>
      </c>
      <c r="B80" s="16">
        <v>1</v>
      </c>
      <c r="C80" s="18">
        <v>0.56000000000000005</v>
      </c>
      <c r="D80" s="1" t="s">
        <v>645</v>
      </c>
      <c r="E80" s="1" t="s">
        <v>53</v>
      </c>
      <c r="F80" s="1" t="s">
        <v>755</v>
      </c>
      <c r="G80" s="1" t="s">
        <v>340</v>
      </c>
      <c r="H80" s="4" t="s">
        <v>200</v>
      </c>
      <c r="I80" s="1" t="s">
        <v>345</v>
      </c>
      <c r="J80" s="1" t="s">
        <v>345</v>
      </c>
    </row>
    <row r="81" spans="1:10" ht="16.5" x14ac:dyDescent="0.25">
      <c r="A81" s="1" t="s">
        <v>679</v>
      </c>
      <c r="B81" s="16">
        <v>1</v>
      </c>
      <c r="C81" s="18">
        <v>0.56000000000000005</v>
      </c>
      <c r="D81" s="1" t="s">
        <v>645</v>
      </c>
      <c r="E81" s="1" t="s">
        <v>53</v>
      </c>
      <c r="F81" s="1" t="s">
        <v>755</v>
      </c>
      <c r="G81" s="1" t="s">
        <v>340</v>
      </c>
      <c r="H81" s="4" t="s">
        <v>201</v>
      </c>
      <c r="I81" s="1" t="s">
        <v>345</v>
      </c>
      <c r="J81" s="1" t="s">
        <v>345</v>
      </c>
    </row>
    <row r="82" spans="1:10" ht="16.5" x14ac:dyDescent="0.25">
      <c r="A82" s="1" t="s">
        <v>118</v>
      </c>
      <c r="B82" s="16">
        <v>1</v>
      </c>
      <c r="C82" s="18">
        <v>0.56000000000000005</v>
      </c>
      <c r="D82" s="1" t="s">
        <v>645</v>
      </c>
      <c r="E82" s="1" t="s">
        <v>53</v>
      </c>
      <c r="F82" s="1" t="s">
        <v>755</v>
      </c>
      <c r="G82" s="1" t="s">
        <v>340</v>
      </c>
      <c r="H82" s="4" t="s">
        <v>202</v>
      </c>
      <c r="I82" s="1" t="s">
        <v>345</v>
      </c>
      <c r="J82" s="1" t="s">
        <v>345</v>
      </c>
    </row>
    <row r="83" spans="1:10" ht="16.5" x14ac:dyDescent="0.25">
      <c r="A83" s="1" t="s">
        <v>680</v>
      </c>
      <c r="B83" s="16">
        <v>1</v>
      </c>
      <c r="C83" s="18">
        <v>0.56000000000000005</v>
      </c>
      <c r="D83" s="1" t="s">
        <v>645</v>
      </c>
      <c r="E83" s="1" t="s">
        <v>53</v>
      </c>
      <c r="F83" s="1" t="s">
        <v>755</v>
      </c>
      <c r="G83" s="1" t="s">
        <v>340</v>
      </c>
      <c r="H83" s="4" t="s">
        <v>203</v>
      </c>
      <c r="I83" s="1" t="s">
        <v>345</v>
      </c>
      <c r="J83" s="1" t="s">
        <v>345</v>
      </c>
    </row>
    <row r="84" spans="1:10" ht="16.5" x14ac:dyDescent="0.25">
      <c r="A84" s="1" t="s">
        <v>119</v>
      </c>
      <c r="B84" s="16">
        <v>1</v>
      </c>
      <c r="C84" s="18">
        <v>0.56000000000000005</v>
      </c>
      <c r="D84" s="1" t="s">
        <v>645</v>
      </c>
      <c r="E84" s="1" t="s">
        <v>53</v>
      </c>
      <c r="F84" s="1" t="s">
        <v>755</v>
      </c>
      <c r="G84" s="1" t="s">
        <v>340</v>
      </c>
      <c r="H84" s="4" t="s">
        <v>204</v>
      </c>
      <c r="I84" s="1" t="s">
        <v>345</v>
      </c>
      <c r="J84" s="1" t="s">
        <v>345</v>
      </c>
    </row>
    <row r="85" spans="1:10" ht="16.5" x14ac:dyDescent="0.25">
      <c r="A85" s="1" t="s">
        <v>681</v>
      </c>
      <c r="B85" s="16">
        <v>1</v>
      </c>
      <c r="C85" s="18">
        <v>0.56000000000000005</v>
      </c>
      <c r="D85" s="1" t="s">
        <v>645</v>
      </c>
      <c r="E85" s="1" t="s">
        <v>53</v>
      </c>
      <c r="F85" s="1" t="s">
        <v>755</v>
      </c>
      <c r="G85" s="1" t="s">
        <v>340</v>
      </c>
      <c r="H85" s="4" t="s">
        <v>205</v>
      </c>
      <c r="I85" s="1" t="s">
        <v>345</v>
      </c>
      <c r="J85" s="1" t="s">
        <v>345</v>
      </c>
    </row>
    <row r="86" spans="1:10" ht="16.5" x14ac:dyDescent="0.25">
      <c r="A86" s="1" t="s">
        <v>120</v>
      </c>
      <c r="B86" s="16">
        <v>1</v>
      </c>
      <c r="C86" s="18">
        <v>0.56000000000000005</v>
      </c>
      <c r="D86" s="1" t="s">
        <v>645</v>
      </c>
      <c r="E86" s="1" t="s">
        <v>53</v>
      </c>
      <c r="F86" s="1" t="s">
        <v>755</v>
      </c>
      <c r="G86" s="1" t="s">
        <v>340</v>
      </c>
      <c r="H86" s="4" t="s">
        <v>206</v>
      </c>
      <c r="I86" s="1" t="s">
        <v>345</v>
      </c>
      <c r="J86" s="1" t="s">
        <v>345</v>
      </c>
    </row>
    <row r="87" spans="1:10" ht="16.5" x14ac:dyDescent="0.25">
      <c r="A87" s="1" t="s">
        <v>121</v>
      </c>
      <c r="B87" s="16">
        <v>1</v>
      </c>
      <c r="C87" s="18">
        <v>0.56000000000000005</v>
      </c>
      <c r="D87" s="1" t="s">
        <v>645</v>
      </c>
      <c r="E87" s="1" t="s">
        <v>53</v>
      </c>
      <c r="F87" s="1" t="s">
        <v>755</v>
      </c>
      <c r="G87" s="1" t="s">
        <v>340</v>
      </c>
      <c r="H87" s="4" t="s">
        <v>207</v>
      </c>
      <c r="I87" s="1" t="s">
        <v>345</v>
      </c>
      <c r="J87" s="1" t="s">
        <v>345</v>
      </c>
    </row>
    <row r="88" spans="1:10" ht="16.5" x14ac:dyDescent="0.25">
      <c r="A88" s="1" t="s">
        <v>122</v>
      </c>
      <c r="B88" s="16">
        <v>1</v>
      </c>
      <c r="C88" s="18">
        <v>0.56000000000000005</v>
      </c>
      <c r="D88" s="1" t="s">
        <v>645</v>
      </c>
      <c r="E88" s="1" t="s">
        <v>53</v>
      </c>
      <c r="F88" s="1" t="s">
        <v>755</v>
      </c>
      <c r="G88" s="1" t="s">
        <v>340</v>
      </c>
      <c r="H88" s="4" t="s">
        <v>208</v>
      </c>
      <c r="I88" s="1" t="s">
        <v>345</v>
      </c>
      <c r="J88" s="1" t="s">
        <v>345</v>
      </c>
    </row>
    <row r="89" spans="1:10" ht="16.5" x14ac:dyDescent="0.25">
      <c r="A89" s="1" t="s">
        <v>682</v>
      </c>
      <c r="B89" s="16">
        <v>1</v>
      </c>
      <c r="C89" s="18">
        <v>0.56000000000000005</v>
      </c>
      <c r="D89" s="1" t="s">
        <v>645</v>
      </c>
      <c r="E89" s="1" t="s">
        <v>53</v>
      </c>
      <c r="F89" s="1" t="s">
        <v>755</v>
      </c>
      <c r="G89" s="1" t="s">
        <v>340</v>
      </c>
      <c r="H89" s="4" t="s">
        <v>209</v>
      </c>
      <c r="I89" s="1" t="s">
        <v>345</v>
      </c>
      <c r="J89" s="1" t="s">
        <v>345</v>
      </c>
    </row>
    <row r="90" spans="1:10" ht="16.5" x14ac:dyDescent="0.25">
      <c r="A90" s="1" t="s">
        <v>123</v>
      </c>
      <c r="B90" s="16">
        <v>1</v>
      </c>
      <c r="C90" s="18">
        <v>0.56000000000000005</v>
      </c>
      <c r="D90" s="1" t="s">
        <v>645</v>
      </c>
      <c r="E90" s="1" t="s">
        <v>53</v>
      </c>
      <c r="F90" s="1" t="s">
        <v>755</v>
      </c>
      <c r="G90" s="1" t="s">
        <v>340</v>
      </c>
      <c r="H90" s="4" t="s">
        <v>210</v>
      </c>
      <c r="I90" s="1" t="s">
        <v>345</v>
      </c>
      <c r="J90" s="1" t="s">
        <v>345</v>
      </c>
    </row>
    <row r="91" spans="1:10" ht="16.5" x14ac:dyDescent="0.25">
      <c r="A91" s="1" t="s">
        <v>683</v>
      </c>
      <c r="B91" s="16">
        <v>1</v>
      </c>
      <c r="C91" s="18">
        <v>0.56000000000000005</v>
      </c>
      <c r="D91" s="1" t="s">
        <v>645</v>
      </c>
      <c r="E91" s="1" t="s">
        <v>53</v>
      </c>
      <c r="F91" s="1" t="s">
        <v>755</v>
      </c>
      <c r="G91" s="1" t="s">
        <v>340</v>
      </c>
      <c r="H91" s="4" t="s">
        <v>211</v>
      </c>
      <c r="I91" s="1" t="s">
        <v>345</v>
      </c>
      <c r="J91" s="1" t="s">
        <v>345</v>
      </c>
    </row>
    <row r="92" spans="1:10" ht="16.5" x14ac:dyDescent="0.25">
      <c r="A92" s="1" t="s">
        <v>124</v>
      </c>
      <c r="B92" s="16">
        <v>1</v>
      </c>
      <c r="C92" s="18">
        <v>0.56000000000000005</v>
      </c>
      <c r="D92" s="1" t="s">
        <v>645</v>
      </c>
      <c r="E92" s="1" t="s">
        <v>53</v>
      </c>
      <c r="F92" s="1" t="s">
        <v>755</v>
      </c>
      <c r="G92" s="1" t="s">
        <v>340</v>
      </c>
      <c r="H92" s="4" t="s">
        <v>212</v>
      </c>
      <c r="I92" s="1" t="s">
        <v>345</v>
      </c>
      <c r="J92" s="1" t="s">
        <v>345</v>
      </c>
    </row>
    <row r="93" spans="1:10" ht="16.5" x14ac:dyDescent="0.25">
      <c r="A93" s="1" t="s">
        <v>125</v>
      </c>
      <c r="B93" s="16">
        <v>1</v>
      </c>
      <c r="C93" s="18">
        <v>0.56000000000000005</v>
      </c>
      <c r="D93" s="1" t="s">
        <v>645</v>
      </c>
      <c r="E93" s="1" t="s">
        <v>53</v>
      </c>
      <c r="F93" s="1" t="s">
        <v>755</v>
      </c>
      <c r="G93" s="1" t="s">
        <v>340</v>
      </c>
      <c r="H93" s="4" t="s">
        <v>213</v>
      </c>
      <c r="I93" s="1" t="s">
        <v>345</v>
      </c>
      <c r="J93" s="1" t="s">
        <v>345</v>
      </c>
    </row>
    <row r="94" spans="1:10" ht="16.5" x14ac:dyDescent="0.25">
      <c r="A94" s="1" t="s">
        <v>126</v>
      </c>
      <c r="B94" s="16">
        <v>1</v>
      </c>
      <c r="C94" s="18">
        <v>0.56000000000000005</v>
      </c>
      <c r="D94" s="1" t="s">
        <v>645</v>
      </c>
      <c r="E94" s="1" t="s">
        <v>53</v>
      </c>
      <c r="F94" s="1" t="s">
        <v>755</v>
      </c>
      <c r="G94" s="1" t="s">
        <v>340</v>
      </c>
      <c r="H94" s="4" t="s">
        <v>214</v>
      </c>
      <c r="I94" s="1" t="s">
        <v>345</v>
      </c>
      <c r="J94" s="1" t="s">
        <v>345</v>
      </c>
    </row>
    <row r="95" spans="1:10" ht="16.5" hidden="1" x14ac:dyDescent="0.25">
      <c r="A95" s="1" t="s">
        <v>3</v>
      </c>
      <c r="B95" s="16">
        <v>1</v>
      </c>
      <c r="C95" s="18">
        <v>0.56000000000000005</v>
      </c>
      <c r="D95" s="1" t="s">
        <v>644</v>
      </c>
      <c r="E95" s="1" t="s">
        <v>53</v>
      </c>
      <c r="F95" s="1" t="s">
        <v>755</v>
      </c>
      <c r="G95" s="1" t="s">
        <v>340</v>
      </c>
      <c r="H95" s="4" t="s">
        <v>215</v>
      </c>
      <c r="I95" s="1" t="s">
        <v>345</v>
      </c>
      <c r="J95" s="1" t="s">
        <v>345</v>
      </c>
    </row>
    <row r="96" spans="1:10" ht="16.5" x14ac:dyDescent="0.25">
      <c r="A96" s="1" t="s">
        <v>127</v>
      </c>
      <c r="B96" s="16">
        <v>1</v>
      </c>
      <c r="C96" s="18">
        <v>0.56000000000000005</v>
      </c>
      <c r="D96" s="1" t="s">
        <v>645</v>
      </c>
      <c r="E96" s="1" t="s">
        <v>53</v>
      </c>
      <c r="F96" s="1" t="s">
        <v>755</v>
      </c>
      <c r="G96" s="1" t="s">
        <v>340</v>
      </c>
      <c r="H96" s="4" t="s">
        <v>216</v>
      </c>
      <c r="I96" s="1" t="s">
        <v>345</v>
      </c>
      <c r="J96" s="1" t="s">
        <v>345</v>
      </c>
    </row>
    <row r="97" spans="1:10" ht="16.5" hidden="1" x14ac:dyDescent="0.25">
      <c r="A97" s="1" t="s">
        <v>647</v>
      </c>
      <c r="B97" s="16">
        <v>1</v>
      </c>
      <c r="C97" s="18">
        <v>0.56000000000000005</v>
      </c>
      <c r="D97" s="1" t="s">
        <v>644</v>
      </c>
      <c r="E97" s="1" t="s">
        <v>53</v>
      </c>
      <c r="F97" s="1" t="s">
        <v>755</v>
      </c>
      <c r="G97" s="1" t="s">
        <v>340</v>
      </c>
      <c r="H97" s="4" t="s">
        <v>217</v>
      </c>
      <c r="I97" s="1" t="s">
        <v>345</v>
      </c>
      <c r="J97" s="1" t="s">
        <v>345</v>
      </c>
    </row>
    <row r="98" spans="1:10" ht="16.5" x14ac:dyDescent="0.25">
      <c r="A98" s="1" t="s">
        <v>128</v>
      </c>
      <c r="B98" s="16">
        <v>1</v>
      </c>
      <c r="C98" s="18">
        <v>0.56000000000000005</v>
      </c>
      <c r="D98" s="1" t="s">
        <v>645</v>
      </c>
      <c r="E98" s="1" t="s">
        <v>53</v>
      </c>
      <c r="F98" s="1" t="s">
        <v>755</v>
      </c>
      <c r="G98" s="1" t="s">
        <v>340</v>
      </c>
      <c r="H98" s="4" t="s">
        <v>218</v>
      </c>
      <c r="I98" s="1" t="s">
        <v>345</v>
      </c>
      <c r="J98" s="1" t="s">
        <v>345</v>
      </c>
    </row>
    <row r="99" spans="1:10" ht="16.5" hidden="1" x14ac:dyDescent="0.25">
      <c r="A99" s="1" t="s">
        <v>649</v>
      </c>
      <c r="B99" s="16">
        <v>1</v>
      </c>
      <c r="C99" s="18">
        <v>0.56000000000000005</v>
      </c>
      <c r="D99" s="1" t="s">
        <v>644</v>
      </c>
      <c r="E99" s="1" t="s">
        <v>53</v>
      </c>
      <c r="F99" s="1" t="s">
        <v>755</v>
      </c>
      <c r="G99" s="1" t="s">
        <v>340</v>
      </c>
      <c r="H99" s="4" t="s">
        <v>219</v>
      </c>
      <c r="I99" s="1" t="s">
        <v>345</v>
      </c>
      <c r="J99" s="1" t="s">
        <v>345</v>
      </c>
    </row>
    <row r="100" spans="1:10" ht="16.5" x14ac:dyDescent="0.25">
      <c r="A100" s="1" t="s">
        <v>684</v>
      </c>
      <c r="B100" s="16">
        <v>1</v>
      </c>
      <c r="C100" s="18">
        <v>0.56000000000000005</v>
      </c>
      <c r="D100" s="1" t="s">
        <v>645</v>
      </c>
      <c r="E100" s="1" t="s">
        <v>53</v>
      </c>
      <c r="F100" s="1" t="s">
        <v>755</v>
      </c>
      <c r="G100" s="1" t="s">
        <v>340</v>
      </c>
      <c r="H100" s="4" t="s">
        <v>220</v>
      </c>
      <c r="I100" s="1" t="s">
        <v>345</v>
      </c>
      <c r="J100" s="1" t="s">
        <v>345</v>
      </c>
    </row>
    <row r="101" spans="1:10" ht="16.5" x14ac:dyDescent="0.25">
      <c r="A101" s="1" t="s">
        <v>129</v>
      </c>
      <c r="B101" s="16">
        <v>1</v>
      </c>
      <c r="C101" s="18">
        <v>0.56000000000000005</v>
      </c>
      <c r="D101" s="1" t="s">
        <v>645</v>
      </c>
      <c r="E101" s="1" t="s">
        <v>53</v>
      </c>
      <c r="F101" s="1" t="s">
        <v>755</v>
      </c>
      <c r="G101" s="1" t="s">
        <v>340</v>
      </c>
      <c r="H101" s="4" t="s">
        <v>732</v>
      </c>
      <c r="I101" s="1" t="s">
        <v>345</v>
      </c>
      <c r="J101" s="1" t="s">
        <v>345</v>
      </c>
    </row>
    <row r="102" spans="1:10" ht="16.5" x14ac:dyDescent="0.25">
      <c r="A102" s="1" t="s">
        <v>130</v>
      </c>
      <c r="B102" s="16">
        <v>1</v>
      </c>
      <c r="C102" s="18">
        <v>0.56000000000000005</v>
      </c>
      <c r="D102" s="1" t="s">
        <v>645</v>
      </c>
      <c r="E102" s="1" t="s">
        <v>53</v>
      </c>
      <c r="F102" s="1" t="s">
        <v>755</v>
      </c>
      <c r="G102" s="1" t="s">
        <v>340</v>
      </c>
      <c r="H102" s="4" t="s">
        <v>733</v>
      </c>
      <c r="I102" s="1" t="s">
        <v>345</v>
      </c>
      <c r="J102" s="1" t="s">
        <v>345</v>
      </c>
    </row>
    <row r="103" spans="1:10" ht="16.5" x14ac:dyDescent="0.25">
      <c r="A103" s="1" t="s">
        <v>131</v>
      </c>
      <c r="B103" s="16">
        <v>1</v>
      </c>
      <c r="C103" s="18">
        <v>0.56000000000000005</v>
      </c>
      <c r="D103" s="1" t="s">
        <v>645</v>
      </c>
      <c r="E103" s="1" t="s">
        <v>53</v>
      </c>
      <c r="F103" s="1" t="s">
        <v>755</v>
      </c>
      <c r="G103" s="1" t="s">
        <v>340</v>
      </c>
      <c r="H103" s="4" t="s">
        <v>734</v>
      </c>
      <c r="I103" s="1" t="s">
        <v>345</v>
      </c>
      <c r="J103" s="1" t="s">
        <v>345</v>
      </c>
    </row>
    <row r="104" spans="1:10" ht="16.5" x14ac:dyDescent="0.25">
      <c r="A104" s="1" t="s">
        <v>132</v>
      </c>
      <c r="B104" s="16">
        <v>1</v>
      </c>
      <c r="C104" s="18">
        <v>0.56000000000000005</v>
      </c>
      <c r="D104" s="1" t="s">
        <v>645</v>
      </c>
      <c r="E104" s="1" t="s">
        <v>53</v>
      </c>
      <c r="F104" s="1" t="s">
        <v>755</v>
      </c>
      <c r="G104" s="1" t="s">
        <v>340</v>
      </c>
      <c r="H104" s="4" t="s">
        <v>735</v>
      </c>
      <c r="I104" s="1" t="s">
        <v>345</v>
      </c>
      <c r="J104" s="1" t="s">
        <v>345</v>
      </c>
    </row>
    <row r="105" spans="1:10" ht="16.5" x14ac:dyDescent="0.25">
      <c r="A105" s="1" t="s">
        <v>133</v>
      </c>
      <c r="B105" s="16">
        <v>1</v>
      </c>
      <c r="C105" s="18">
        <v>0.56000000000000005</v>
      </c>
      <c r="D105" s="1" t="s">
        <v>645</v>
      </c>
      <c r="E105" s="1" t="s">
        <v>53</v>
      </c>
      <c r="F105" s="1" t="s">
        <v>755</v>
      </c>
      <c r="G105" s="1" t="s">
        <v>340</v>
      </c>
      <c r="H105" s="4" t="s">
        <v>736</v>
      </c>
      <c r="I105" s="1" t="s">
        <v>345</v>
      </c>
      <c r="J105" s="1" t="s">
        <v>345</v>
      </c>
    </row>
    <row r="106" spans="1:10" hidden="1" x14ac:dyDescent="0.25">
      <c r="A106" s="1" t="s">
        <v>50</v>
      </c>
      <c r="B106" s="1">
        <v>1</v>
      </c>
      <c r="C106" s="18">
        <v>0.56000000000000005</v>
      </c>
      <c r="D106" s="1" t="s">
        <v>644</v>
      </c>
      <c r="E106" s="1" t="s">
        <v>53</v>
      </c>
      <c r="F106" s="1" t="s">
        <v>755</v>
      </c>
      <c r="G106" s="1" t="s">
        <v>340</v>
      </c>
      <c r="H106" s="1" t="s">
        <v>737</v>
      </c>
      <c r="I106" s="1" t="s">
        <v>345</v>
      </c>
      <c r="J106" s="1" t="s">
        <v>345</v>
      </c>
    </row>
    <row r="107" spans="1:10" x14ac:dyDescent="0.25">
      <c r="A107" s="1" t="s">
        <v>685</v>
      </c>
      <c r="B107" s="1">
        <v>1</v>
      </c>
      <c r="C107" s="18">
        <v>0.56000000000000005</v>
      </c>
      <c r="D107" s="1" t="s">
        <v>645</v>
      </c>
      <c r="E107" s="1" t="s">
        <v>53</v>
      </c>
      <c r="F107" s="1" t="s">
        <v>755</v>
      </c>
      <c r="G107" s="1" t="s">
        <v>340</v>
      </c>
      <c r="H107" s="1" t="s">
        <v>738</v>
      </c>
      <c r="I107" s="1" t="s">
        <v>345</v>
      </c>
      <c r="J107" s="1" t="s">
        <v>345</v>
      </c>
    </row>
    <row r="108" spans="1:10" x14ac:dyDescent="0.25">
      <c r="A108" s="1" t="s">
        <v>686</v>
      </c>
      <c r="B108" s="1">
        <v>1</v>
      </c>
      <c r="C108" s="18">
        <v>0.56000000000000005</v>
      </c>
      <c r="D108" s="1" t="s">
        <v>645</v>
      </c>
      <c r="E108" s="1" t="s">
        <v>53</v>
      </c>
      <c r="F108" s="1" t="s">
        <v>755</v>
      </c>
      <c r="G108" s="1" t="s">
        <v>340</v>
      </c>
      <c r="H108" s="1" t="s">
        <v>739</v>
      </c>
      <c r="I108" s="1" t="s">
        <v>345</v>
      </c>
      <c r="J108" s="1" t="s">
        <v>345</v>
      </c>
    </row>
    <row r="109" spans="1:10" x14ac:dyDescent="0.25">
      <c r="A109" s="1" t="s">
        <v>687</v>
      </c>
      <c r="B109" s="1">
        <v>1</v>
      </c>
      <c r="C109" s="18">
        <v>0.56000000000000005</v>
      </c>
      <c r="D109" s="1" t="s">
        <v>645</v>
      </c>
      <c r="E109" s="1" t="s">
        <v>53</v>
      </c>
      <c r="F109" s="1" t="s">
        <v>755</v>
      </c>
      <c r="G109" s="1" t="s">
        <v>340</v>
      </c>
      <c r="H109" s="1" t="s">
        <v>740</v>
      </c>
      <c r="I109" s="1" t="s">
        <v>345</v>
      </c>
      <c r="J109" s="1" t="s">
        <v>345</v>
      </c>
    </row>
    <row r="110" spans="1:10" x14ac:dyDescent="0.25">
      <c r="A110" s="1" t="s">
        <v>688</v>
      </c>
      <c r="B110" s="1">
        <v>1</v>
      </c>
      <c r="C110" s="18">
        <v>0.56000000000000005</v>
      </c>
      <c r="D110" s="1" t="s">
        <v>645</v>
      </c>
      <c r="E110" s="1" t="s">
        <v>53</v>
      </c>
      <c r="F110" s="1" t="s">
        <v>755</v>
      </c>
      <c r="G110" s="1" t="s">
        <v>340</v>
      </c>
      <c r="H110" s="1" t="s">
        <v>741</v>
      </c>
      <c r="I110" s="1" t="s">
        <v>345</v>
      </c>
      <c r="J110" s="1" t="s">
        <v>345</v>
      </c>
    </row>
    <row r="111" spans="1:10" x14ac:dyDescent="0.25">
      <c r="A111" s="1" t="s">
        <v>689</v>
      </c>
      <c r="B111" s="1">
        <v>1</v>
      </c>
      <c r="C111" s="18">
        <v>0.56000000000000005</v>
      </c>
      <c r="D111" s="1" t="s">
        <v>645</v>
      </c>
      <c r="E111" s="1" t="s">
        <v>53</v>
      </c>
      <c r="F111" s="1" t="s">
        <v>755</v>
      </c>
      <c r="G111" s="1" t="s">
        <v>340</v>
      </c>
      <c r="H111" s="1" t="s">
        <v>742</v>
      </c>
      <c r="I111" s="1" t="s">
        <v>345</v>
      </c>
      <c r="J111" s="1" t="s">
        <v>345</v>
      </c>
    </row>
    <row r="112" spans="1:10" x14ac:dyDescent="0.25">
      <c r="A112" s="1" t="s">
        <v>690</v>
      </c>
      <c r="B112" s="1">
        <v>1</v>
      </c>
      <c r="C112" s="18">
        <v>0.56000000000000005</v>
      </c>
      <c r="D112" s="1" t="s">
        <v>645</v>
      </c>
      <c r="E112" s="1" t="s">
        <v>53</v>
      </c>
      <c r="F112" s="1" t="s">
        <v>755</v>
      </c>
      <c r="G112" s="1" t="s">
        <v>340</v>
      </c>
      <c r="H112" s="1" t="s">
        <v>743</v>
      </c>
      <c r="I112" s="1" t="s">
        <v>345</v>
      </c>
      <c r="J112" s="1" t="s">
        <v>345</v>
      </c>
    </row>
    <row r="113" spans="1:11" x14ac:dyDescent="0.25">
      <c r="A113" s="1" t="s">
        <v>691</v>
      </c>
      <c r="B113" s="1">
        <v>1</v>
      </c>
      <c r="C113" s="18">
        <v>0.56000000000000005</v>
      </c>
      <c r="D113" s="1" t="s">
        <v>645</v>
      </c>
      <c r="E113" s="1" t="s">
        <v>53</v>
      </c>
      <c r="F113" s="1" t="s">
        <v>755</v>
      </c>
      <c r="G113" s="1" t="s">
        <v>340</v>
      </c>
      <c r="H113" s="1" t="s">
        <v>744</v>
      </c>
      <c r="I113" s="1" t="s">
        <v>345</v>
      </c>
      <c r="J113" s="1" t="s">
        <v>345</v>
      </c>
    </row>
    <row r="114" spans="1:11" x14ac:dyDescent="0.25">
      <c r="A114" s="1" t="s">
        <v>692</v>
      </c>
      <c r="B114" s="1">
        <v>1</v>
      </c>
      <c r="C114" s="18">
        <v>0.56000000000000005</v>
      </c>
      <c r="D114" s="1" t="s">
        <v>645</v>
      </c>
      <c r="E114" s="1" t="s">
        <v>53</v>
      </c>
      <c r="F114" s="1" t="s">
        <v>755</v>
      </c>
      <c r="G114" s="1" t="s">
        <v>340</v>
      </c>
      <c r="H114" s="1" t="s">
        <v>745</v>
      </c>
      <c r="I114" s="1" t="s">
        <v>345</v>
      </c>
      <c r="J114" s="1" t="s">
        <v>345</v>
      </c>
    </row>
    <row r="115" spans="1:11" hidden="1" x14ac:dyDescent="0.25">
      <c r="A115" s="1" t="s">
        <v>396</v>
      </c>
      <c r="B115" s="1">
        <v>0</v>
      </c>
      <c r="C115" s="1" t="s">
        <v>1006</v>
      </c>
      <c r="D115" s="1">
        <v>0</v>
      </c>
      <c r="E115" s="1"/>
      <c r="F115" s="1"/>
      <c r="G115" s="1"/>
      <c r="H115" s="1"/>
      <c r="I115" s="1" t="s">
        <v>345</v>
      </c>
      <c r="J115" s="1" t="s">
        <v>345</v>
      </c>
      <c r="K115" t="str">
        <f t="shared" ref="K115:K119" si="0">_xlfn.CONCAT("{",A115,"}")</f>
        <v>{n/a_FRAM_direction_deviation_12}</v>
      </c>
    </row>
    <row r="116" spans="1:11" hidden="1" x14ac:dyDescent="0.25">
      <c r="A116" s="1" t="s">
        <v>397</v>
      </c>
      <c r="B116" s="1">
        <v>0</v>
      </c>
      <c r="C116" s="1" t="s">
        <v>1006</v>
      </c>
      <c r="D116" s="1">
        <v>0</v>
      </c>
      <c r="E116" s="1"/>
      <c r="F116" s="1"/>
      <c r="G116" s="1"/>
      <c r="H116" s="1"/>
      <c r="I116" s="1" t="s">
        <v>345</v>
      </c>
      <c r="J116" s="1" t="s">
        <v>345</v>
      </c>
      <c r="K116" t="str">
        <f t="shared" si="0"/>
        <v>{n/a_FRAM_direction_deviation_13}</v>
      </c>
    </row>
    <row r="117" spans="1:11" hidden="1" x14ac:dyDescent="0.25">
      <c r="A117" s="1" t="s">
        <v>398</v>
      </c>
      <c r="B117" s="1">
        <v>0</v>
      </c>
      <c r="C117" s="1" t="s">
        <v>1006</v>
      </c>
      <c r="D117" s="1">
        <v>0</v>
      </c>
      <c r="E117" s="1"/>
      <c r="F117" s="1"/>
      <c r="G117" s="1"/>
      <c r="H117" s="1"/>
      <c r="I117" s="1" t="s">
        <v>345</v>
      </c>
      <c r="J117" s="1" t="s">
        <v>345</v>
      </c>
      <c r="K117" t="str">
        <f t="shared" si="0"/>
        <v>{n/a_FRAM_direction_deviation_14}</v>
      </c>
    </row>
    <row r="118" spans="1:11" hidden="1" x14ac:dyDescent="0.25">
      <c r="A118" s="1" t="s">
        <v>399</v>
      </c>
      <c r="B118" s="1">
        <v>0</v>
      </c>
      <c r="C118" s="1" t="s">
        <v>1006</v>
      </c>
      <c r="D118" s="1">
        <v>0</v>
      </c>
      <c r="E118" s="1"/>
      <c r="F118" s="1"/>
      <c r="G118" s="1"/>
      <c r="H118" s="1"/>
      <c r="I118" s="1" t="s">
        <v>345</v>
      </c>
      <c r="J118" s="1" t="s">
        <v>345</v>
      </c>
      <c r="K118" t="str">
        <f t="shared" si="0"/>
        <v>{n/a_FRAM_direction_deviation_15}</v>
      </c>
    </row>
    <row r="119" spans="1:11" hidden="1" x14ac:dyDescent="0.25">
      <c r="A119" s="1" t="s">
        <v>400</v>
      </c>
      <c r="B119" s="1">
        <v>0</v>
      </c>
      <c r="C119" s="1" t="s">
        <v>1006</v>
      </c>
      <c r="D119" s="1">
        <v>0</v>
      </c>
      <c r="E119" s="1"/>
      <c r="F119" s="1"/>
      <c r="G119" s="1"/>
      <c r="H119" s="1"/>
      <c r="I119" s="1" t="s">
        <v>345</v>
      </c>
      <c r="J119" s="1" t="s">
        <v>345</v>
      </c>
      <c r="K119" t="str">
        <f t="shared" si="0"/>
        <v>{n/a_FRAM_direction_deviation_16}</v>
      </c>
    </row>
    <row r="120" spans="1:11" hidden="1" x14ac:dyDescent="0.25">
      <c r="A120" s="1" t="s">
        <v>401</v>
      </c>
      <c r="B120" s="1">
        <v>0</v>
      </c>
      <c r="C120" s="1" t="s">
        <v>1006</v>
      </c>
      <c r="D120" s="1">
        <v>0</v>
      </c>
      <c r="E120" s="1"/>
      <c r="F120" s="1"/>
      <c r="G120" s="1"/>
      <c r="H120" s="1"/>
      <c r="I120" s="1" t="s">
        <v>345</v>
      </c>
      <c r="J120" s="1" t="s">
        <v>345</v>
      </c>
      <c r="K120" t="str">
        <f>_xlfn.CONCAT("{",A120,"}")</f>
        <v>{n/a_FRAM_direction_deviation_19}</v>
      </c>
    </row>
    <row r="121" spans="1:11" hidden="1" x14ac:dyDescent="0.25">
      <c r="A121" s="1" t="s">
        <v>402</v>
      </c>
      <c r="B121" s="1">
        <v>0</v>
      </c>
      <c r="C121" s="1" t="s">
        <v>1006</v>
      </c>
      <c r="D121" s="1">
        <v>0</v>
      </c>
      <c r="E121" s="1"/>
      <c r="F121" s="1"/>
      <c r="G121" s="1"/>
      <c r="H121" s="1"/>
      <c r="I121" s="1" t="s">
        <v>345</v>
      </c>
      <c r="J121" s="1" t="s">
        <v>345</v>
      </c>
      <c r="K121" t="str">
        <f t="shared" ref="K121:K175" si="1">_xlfn.CONCAT("{",A121,"}")</f>
        <v>{n/a_FRAM_direction_deviation_20}</v>
      </c>
    </row>
    <row r="122" spans="1:11" hidden="1" x14ac:dyDescent="0.25">
      <c r="A122" s="1" t="s">
        <v>403</v>
      </c>
      <c r="B122" s="1">
        <v>0</v>
      </c>
      <c r="C122" s="1" t="s">
        <v>1006</v>
      </c>
      <c r="D122" s="1">
        <v>0</v>
      </c>
      <c r="E122" s="1"/>
      <c r="F122" s="1"/>
      <c r="G122" s="1"/>
      <c r="H122" s="1"/>
      <c r="I122" s="1" t="s">
        <v>345</v>
      </c>
      <c r="J122" s="1" t="s">
        <v>345</v>
      </c>
      <c r="K122" t="str">
        <f t="shared" si="1"/>
        <v>{n/a_FRAM_direction_deviation_21}</v>
      </c>
    </row>
    <row r="123" spans="1:11" hidden="1" x14ac:dyDescent="0.25">
      <c r="A123" s="1" t="s">
        <v>404</v>
      </c>
      <c r="B123" s="1">
        <v>0</v>
      </c>
      <c r="C123" s="1" t="s">
        <v>1006</v>
      </c>
      <c r="D123" s="1">
        <v>0</v>
      </c>
      <c r="E123" s="1"/>
      <c r="F123" s="1"/>
      <c r="G123" s="1"/>
      <c r="H123" s="1"/>
      <c r="I123" s="1" t="s">
        <v>345</v>
      </c>
      <c r="J123" s="1" t="s">
        <v>345</v>
      </c>
      <c r="K123" t="str">
        <f t="shared" si="1"/>
        <v>{n/a_FRAM_direction_deviation_22}</v>
      </c>
    </row>
    <row r="124" spans="1:11" hidden="1" x14ac:dyDescent="0.25">
      <c r="A124" s="1" t="s">
        <v>405</v>
      </c>
      <c r="B124" s="1">
        <v>0</v>
      </c>
      <c r="C124" s="1" t="s">
        <v>1006</v>
      </c>
      <c r="D124" s="1">
        <v>0</v>
      </c>
      <c r="E124" s="1"/>
      <c r="F124" s="1"/>
      <c r="G124" s="1"/>
      <c r="H124" s="1"/>
      <c r="I124" s="1" t="s">
        <v>345</v>
      </c>
      <c r="J124" s="1" t="s">
        <v>345</v>
      </c>
      <c r="K124" t="str">
        <f t="shared" si="1"/>
        <v>{n/a_FRAM_direction_deviation_23}</v>
      </c>
    </row>
    <row r="125" spans="1:11" hidden="1" x14ac:dyDescent="0.25">
      <c r="A125" s="1" t="s">
        <v>406</v>
      </c>
      <c r="B125" s="1">
        <v>0</v>
      </c>
      <c r="C125" s="1" t="s">
        <v>1006</v>
      </c>
      <c r="D125" s="1">
        <v>0</v>
      </c>
      <c r="E125" s="1"/>
      <c r="F125" s="1"/>
      <c r="G125" s="1"/>
      <c r="H125" s="1"/>
      <c r="I125" s="1" t="s">
        <v>345</v>
      </c>
      <c r="J125" s="1" t="s">
        <v>345</v>
      </c>
      <c r="K125" t="str">
        <f t="shared" si="1"/>
        <v>{n/a_FRAM_direction_deviation_25}</v>
      </c>
    </row>
    <row r="126" spans="1:11" hidden="1" x14ac:dyDescent="0.25">
      <c r="A126" s="1" t="s">
        <v>407</v>
      </c>
      <c r="B126" s="1">
        <v>0</v>
      </c>
      <c r="C126" s="1" t="s">
        <v>1006</v>
      </c>
      <c r="D126" s="1">
        <v>0</v>
      </c>
      <c r="E126" s="1"/>
      <c r="F126" s="1"/>
      <c r="G126" s="1"/>
      <c r="H126" s="1"/>
      <c r="I126" s="1" t="s">
        <v>345</v>
      </c>
      <c r="J126" s="1" t="s">
        <v>345</v>
      </c>
      <c r="K126" t="str">
        <f t="shared" si="1"/>
        <v>{n/a_FRAM_direction_deviation_26}</v>
      </c>
    </row>
    <row r="127" spans="1:11" hidden="1" x14ac:dyDescent="0.25">
      <c r="A127" s="1" t="s">
        <v>408</v>
      </c>
      <c r="B127" s="1">
        <v>0</v>
      </c>
      <c r="C127" s="1" t="s">
        <v>1006</v>
      </c>
      <c r="D127" s="1">
        <v>0</v>
      </c>
      <c r="E127" s="1"/>
      <c r="F127" s="1"/>
      <c r="G127" s="1"/>
      <c r="H127" s="1"/>
      <c r="I127" s="1" t="s">
        <v>345</v>
      </c>
      <c r="J127" s="1" t="s">
        <v>345</v>
      </c>
      <c r="K127" t="str">
        <f t="shared" si="1"/>
        <v>{n/a_FRAM_direction_deviation_27}</v>
      </c>
    </row>
    <row r="128" spans="1:11" hidden="1" x14ac:dyDescent="0.25">
      <c r="A128" s="1" t="s">
        <v>409</v>
      </c>
      <c r="B128" s="1">
        <v>0</v>
      </c>
      <c r="C128" s="1" t="s">
        <v>1006</v>
      </c>
      <c r="D128" s="1">
        <v>0</v>
      </c>
      <c r="E128" s="1"/>
      <c r="F128" s="1"/>
      <c r="G128" s="1"/>
      <c r="H128" s="1"/>
      <c r="I128" s="1" t="s">
        <v>345</v>
      </c>
      <c r="J128" s="1" t="s">
        <v>345</v>
      </c>
      <c r="K128" t="str">
        <f t="shared" si="1"/>
        <v>{n/a_FRAM_direction_deviation_28}</v>
      </c>
    </row>
    <row r="129" spans="1:11" hidden="1" x14ac:dyDescent="0.25">
      <c r="A129" s="1" t="s">
        <v>410</v>
      </c>
      <c r="B129" s="1">
        <v>0</v>
      </c>
      <c r="C129" s="1" t="s">
        <v>1006</v>
      </c>
      <c r="D129" s="1">
        <v>0</v>
      </c>
      <c r="E129" s="1"/>
      <c r="F129" s="1"/>
      <c r="G129" s="1"/>
      <c r="H129" s="1"/>
      <c r="I129" s="1" t="s">
        <v>345</v>
      </c>
      <c r="J129" s="1" t="s">
        <v>345</v>
      </c>
      <c r="K129" t="str">
        <f t="shared" si="1"/>
        <v>{n/a_FRAM_direction_deviation_32}</v>
      </c>
    </row>
    <row r="130" spans="1:11" hidden="1" x14ac:dyDescent="0.25">
      <c r="A130" s="1" t="s">
        <v>411</v>
      </c>
      <c r="B130" s="1">
        <v>0</v>
      </c>
      <c r="C130" s="1" t="s">
        <v>1006</v>
      </c>
      <c r="D130" s="1">
        <v>0</v>
      </c>
      <c r="E130" s="1"/>
      <c r="F130" s="1"/>
      <c r="G130" s="1"/>
      <c r="H130" s="1"/>
      <c r="I130" s="1" t="s">
        <v>345</v>
      </c>
      <c r="J130" s="1" t="s">
        <v>345</v>
      </c>
      <c r="K130" t="str">
        <f t="shared" si="1"/>
        <v>{n/a_FRAM_direction_deviation_34}</v>
      </c>
    </row>
    <row r="131" spans="1:11" hidden="1" x14ac:dyDescent="0.25">
      <c r="A131" s="1" t="s">
        <v>412</v>
      </c>
      <c r="B131" s="1">
        <v>0</v>
      </c>
      <c r="C131" s="1" t="s">
        <v>1006</v>
      </c>
      <c r="D131" s="1">
        <v>0</v>
      </c>
      <c r="E131" s="1"/>
      <c r="F131" s="1"/>
      <c r="G131" s="1"/>
      <c r="H131" s="1"/>
      <c r="I131" s="1" t="s">
        <v>345</v>
      </c>
      <c r="J131" s="1" t="s">
        <v>345</v>
      </c>
      <c r="K131" t="str">
        <f t="shared" si="1"/>
        <v>{n/a_FRAM_distance_deviation_2}</v>
      </c>
    </row>
    <row r="132" spans="1:11" hidden="1" x14ac:dyDescent="0.25">
      <c r="A132" s="1" t="s">
        <v>413</v>
      </c>
      <c r="B132" s="1">
        <v>0</v>
      </c>
      <c r="C132" s="1" t="s">
        <v>1006</v>
      </c>
      <c r="D132" s="1">
        <v>0</v>
      </c>
      <c r="E132" s="1"/>
      <c r="F132" s="1"/>
      <c r="G132" s="1"/>
      <c r="H132" s="1"/>
      <c r="I132" s="1" t="s">
        <v>345</v>
      </c>
      <c r="J132" s="1" t="s">
        <v>345</v>
      </c>
      <c r="K132" t="str">
        <f t="shared" si="1"/>
        <v>{n/a_FRAM_distance_deviation_4}</v>
      </c>
    </row>
    <row r="133" spans="1:11" hidden="1" x14ac:dyDescent="0.25">
      <c r="A133" s="1" t="s">
        <v>414</v>
      </c>
      <c r="B133" s="1">
        <v>0</v>
      </c>
      <c r="C133" s="1" t="s">
        <v>1006</v>
      </c>
      <c r="D133" s="1">
        <v>0</v>
      </c>
      <c r="E133" s="1"/>
      <c r="F133" s="1"/>
      <c r="G133" s="1"/>
      <c r="H133" s="1"/>
      <c r="I133" s="1" t="s">
        <v>345</v>
      </c>
      <c r="J133" s="1" t="s">
        <v>345</v>
      </c>
      <c r="K133" t="str">
        <f t="shared" si="1"/>
        <v>{n/a_FRAM_distance_deviation_12}</v>
      </c>
    </row>
    <row r="134" spans="1:11" hidden="1" x14ac:dyDescent="0.25">
      <c r="A134" s="1" t="s">
        <v>415</v>
      </c>
      <c r="B134" s="1">
        <v>0</v>
      </c>
      <c r="C134" s="1" t="s">
        <v>1006</v>
      </c>
      <c r="D134" s="1">
        <v>0</v>
      </c>
      <c r="E134" s="1"/>
      <c r="F134" s="1"/>
      <c r="G134" s="1"/>
      <c r="H134" s="1"/>
      <c r="I134" s="1" t="s">
        <v>345</v>
      </c>
      <c r="J134" s="1" t="s">
        <v>345</v>
      </c>
      <c r="K134" t="str">
        <f t="shared" si="1"/>
        <v>{n/a_FRAM_distance_deviation_13}</v>
      </c>
    </row>
    <row r="135" spans="1:11" hidden="1" x14ac:dyDescent="0.25">
      <c r="A135" s="1" t="s">
        <v>416</v>
      </c>
      <c r="B135" s="1">
        <v>0</v>
      </c>
      <c r="C135" s="1" t="s">
        <v>1006</v>
      </c>
      <c r="D135" s="1">
        <v>0</v>
      </c>
      <c r="E135" s="1"/>
      <c r="F135" s="1"/>
      <c r="G135" s="1"/>
      <c r="H135" s="1"/>
      <c r="I135" s="1" t="s">
        <v>345</v>
      </c>
      <c r="J135" s="1" t="s">
        <v>345</v>
      </c>
      <c r="K135" t="str">
        <f t="shared" si="1"/>
        <v>{n/a_FRAM_distance_deviation_14}</v>
      </c>
    </row>
    <row r="136" spans="1:11" hidden="1" x14ac:dyDescent="0.25">
      <c r="A136" s="1" t="s">
        <v>417</v>
      </c>
      <c r="B136" s="1">
        <v>0</v>
      </c>
      <c r="C136" s="1" t="s">
        <v>1006</v>
      </c>
      <c r="D136" s="1">
        <v>0</v>
      </c>
      <c r="E136" s="1"/>
      <c r="F136" s="1"/>
      <c r="G136" s="1"/>
      <c r="H136" s="1"/>
      <c r="I136" s="1" t="s">
        <v>345</v>
      </c>
      <c r="J136" s="1" t="s">
        <v>345</v>
      </c>
      <c r="K136" t="str">
        <f t="shared" si="1"/>
        <v>{n/a_FRAM_distance_deviation_15}</v>
      </c>
    </row>
    <row r="137" spans="1:11" hidden="1" x14ac:dyDescent="0.25">
      <c r="A137" s="1" t="s">
        <v>418</v>
      </c>
      <c r="B137" s="1">
        <v>0</v>
      </c>
      <c r="C137" s="1" t="s">
        <v>1006</v>
      </c>
      <c r="D137" s="1">
        <v>0</v>
      </c>
      <c r="E137" s="1"/>
      <c r="F137" s="1"/>
      <c r="G137" s="1"/>
      <c r="H137" s="1"/>
      <c r="I137" s="1" t="s">
        <v>345</v>
      </c>
      <c r="J137" s="1" t="s">
        <v>345</v>
      </c>
      <c r="K137" t="str">
        <f t="shared" si="1"/>
        <v>{n/a_FRAM_distance_deviation_16}</v>
      </c>
    </row>
    <row r="138" spans="1:11" hidden="1" x14ac:dyDescent="0.25">
      <c r="A138" s="1" t="s">
        <v>419</v>
      </c>
      <c r="B138" s="1">
        <v>0</v>
      </c>
      <c r="C138" s="1" t="s">
        <v>1006</v>
      </c>
      <c r="D138" s="1">
        <v>0</v>
      </c>
      <c r="E138" s="1"/>
      <c r="F138" s="1"/>
      <c r="G138" s="1"/>
      <c r="H138" s="1"/>
      <c r="I138" s="1" t="s">
        <v>345</v>
      </c>
      <c r="J138" s="1" t="s">
        <v>345</v>
      </c>
      <c r="K138" t="str">
        <f t="shared" si="1"/>
        <v>{n/a_FRAM_distance_deviation_17}</v>
      </c>
    </row>
    <row r="139" spans="1:11" hidden="1" x14ac:dyDescent="0.25">
      <c r="A139" s="1" t="s">
        <v>420</v>
      </c>
      <c r="B139" s="1">
        <v>0</v>
      </c>
      <c r="C139" s="1" t="s">
        <v>1006</v>
      </c>
      <c r="D139" s="1">
        <v>0</v>
      </c>
      <c r="E139" s="1"/>
      <c r="F139" s="1"/>
      <c r="G139" s="1"/>
      <c r="H139" s="1"/>
      <c r="I139" s="1" t="s">
        <v>345</v>
      </c>
      <c r="J139" s="1" t="s">
        <v>345</v>
      </c>
      <c r="K139" t="str">
        <f t="shared" si="1"/>
        <v>{n/a_FRAM_distance_deviation_18}</v>
      </c>
    </row>
    <row r="140" spans="1:11" hidden="1" x14ac:dyDescent="0.25">
      <c r="A140" s="1" t="s">
        <v>421</v>
      </c>
      <c r="B140" s="1">
        <v>0</v>
      </c>
      <c r="C140" s="1" t="s">
        <v>1006</v>
      </c>
      <c r="D140" s="1">
        <v>0</v>
      </c>
      <c r="E140" s="1"/>
      <c r="F140" s="1"/>
      <c r="G140" s="1"/>
      <c r="H140" s="1"/>
      <c r="I140" s="1" t="s">
        <v>345</v>
      </c>
      <c r="J140" s="1" t="s">
        <v>345</v>
      </c>
      <c r="K140" t="str">
        <f t="shared" si="1"/>
        <v>{n/a_FRAM_distance_deviation_19}</v>
      </c>
    </row>
    <row r="141" spans="1:11" hidden="1" x14ac:dyDescent="0.25">
      <c r="A141" s="1" t="s">
        <v>422</v>
      </c>
      <c r="B141" s="1">
        <v>0</v>
      </c>
      <c r="C141" s="1" t="s">
        <v>1006</v>
      </c>
      <c r="D141" s="1">
        <v>0</v>
      </c>
      <c r="E141" s="1"/>
      <c r="F141" s="1"/>
      <c r="G141" s="1"/>
      <c r="H141" s="1"/>
      <c r="I141" s="1" t="s">
        <v>345</v>
      </c>
      <c r="J141" s="1" t="s">
        <v>345</v>
      </c>
      <c r="K141" t="str">
        <f t="shared" si="1"/>
        <v>{n/a_FRAM_distance_deviation_20}</v>
      </c>
    </row>
    <row r="142" spans="1:11" hidden="1" x14ac:dyDescent="0.25">
      <c r="A142" s="1" t="s">
        <v>423</v>
      </c>
      <c r="B142" s="1">
        <v>0</v>
      </c>
      <c r="C142" s="1" t="s">
        <v>1006</v>
      </c>
      <c r="D142" s="1">
        <v>0</v>
      </c>
      <c r="E142" s="1"/>
      <c r="F142" s="1"/>
      <c r="G142" s="1"/>
      <c r="H142" s="1"/>
      <c r="I142" s="1" t="s">
        <v>345</v>
      </c>
      <c r="J142" s="1" t="s">
        <v>345</v>
      </c>
      <c r="K142" t="str">
        <f t="shared" si="1"/>
        <v>{n/a_FRAM_distance_deviation_22}</v>
      </c>
    </row>
    <row r="143" spans="1:11" hidden="1" x14ac:dyDescent="0.25">
      <c r="A143" s="1" t="s">
        <v>424</v>
      </c>
      <c r="B143" s="1">
        <v>0</v>
      </c>
      <c r="C143" s="1" t="s">
        <v>1006</v>
      </c>
      <c r="D143" s="1">
        <v>0</v>
      </c>
      <c r="E143" s="1"/>
      <c r="F143" s="1"/>
      <c r="G143" s="1"/>
      <c r="H143" s="1"/>
      <c r="I143" s="1" t="s">
        <v>345</v>
      </c>
      <c r="J143" s="1" t="s">
        <v>345</v>
      </c>
      <c r="K143" t="str">
        <f t="shared" si="1"/>
        <v>{n/a_FRAM_distance_deviation_23}</v>
      </c>
    </row>
    <row r="144" spans="1:11" hidden="1" x14ac:dyDescent="0.25">
      <c r="A144" s="1" t="s">
        <v>425</v>
      </c>
      <c r="B144" s="1">
        <v>0</v>
      </c>
      <c r="C144" s="1" t="s">
        <v>1006</v>
      </c>
      <c r="D144" s="1">
        <v>0</v>
      </c>
      <c r="E144" s="1"/>
      <c r="F144" s="1"/>
      <c r="G144" s="1"/>
      <c r="H144" s="1"/>
      <c r="I144" s="1" t="s">
        <v>345</v>
      </c>
      <c r="J144" s="1" t="s">
        <v>345</v>
      </c>
      <c r="K144" t="str">
        <f t="shared" si="1"/>
        <v>{n/a_FRAM_distance_deviation_26}</v>
      </c>
    </row>
    <row r="145" spans="1:11" hidden="1" x14ac:dyDescent="0.25">
      <c r="A145" s="1" t="s">
        <v>426</v>
      </c>
      <c r="B145" s="1">
        <v>0</v>
      </c>
      <c r="C145" s="1" t="s">
        <v>1006</v>
      </c>
      <c r="D145" s="1">
        <v>0</v>
      </c>
      <c r="E145" s="1"/>
      <c r="F145" s="1"/>
      <c r="G145" s="1"/>
      <c r="H145" s="1"/>
      <c r="I145" s="1" t="s">
        <v>345</v>
      </c>
      <c r="J145" s="1" t="s">
        <v>345</v>
      </c>
      <c r="K145" t="str">
        <f t="shared" si="1"/>
        <v>{n/a_FRAM_distance_deviation_27}</v>
      </c>
    </row>
    <row r="146" spans="1:11" hidden="1" x14ac:dyDescent="0.25">
      <c r="A146" s="1" t="s">
        <v>427</v>
      </c>
      <c r="B146" s="1">
        <v>0</v>
      </c>
      <c r="C146" s="1" t="s">
        <v>1006</v>
      </c>
      <c r="D146" s="1">
        <v>0</v>
      </c>
      <c r="E146" s="1"/>
      <c r="F146" s="1"/>
      <c r="G146" s="1"/>
      <c r="H146" s="1"/>
      <c r="I146" s="1" t="s">
        <v>345</v>
      </c>
      <c r="J146" s="1" t="s">
        <v>345</v>
      </c>
      <c r="K146" t="str">
        <f t="shared" si="1"/>
        <v>{n/a_FRAM_distance_deviation_28}</v>
      </c>
    </row>
    <row r="147" spans="1:11" hidden="1" x14ac:dyDescent="0.25">
      <c r="A147" s="1" t="s">
        <v>428</v>
      </c>
      <c r="B147" s="1">
        <v>0</v>
      </c>
      <c r="C147" s="1" t="s">
        <v>1006</v>
      </c>
      <c r="D147" s="1">
        <v>0</v>
      </c>
      <c r="E147" s="1"/>
      <c r="F147" s="1"/>
      <c r="G147" s="1"/>
      <c r="H147" s="1"/>
      <c r="I147" s="1" t="s">
        <v>345</v>
      </c>
      <c r="J147" s="1" t="s">
        <v>345</v>
      </c>
      <c r="K147" t="str">
        <f t="shared" si="1"/>
        <v>{n/a_FRAM_distance_deviation_30}</v>
      </c>
    </row>
    <row r="148" spans="1:11" hidden="1" x14ac:dyDescent="0.25">
      <c r="A148" s="1" t="s">
        <v>429</v>
      </c>
      <c r="B148" s="1">
        <v>0</v>
      </c>
      <c r="C148" s="1" t="s">
        <v>1006</v>
      </c>
      <c r="D148" s="1">
        <v>0</v>
      </c>
      <c r="E148" s="1"/>
      <c r="F148" s="1"/>
      <c r="G148" s="1"/>
      <c r="H148" s="1"/>
      <c r="I148" s="1" t="s">
        <v>345</v>
      </c>
      <c r="J148" s="1" t="s">
        <v>345</v>
      </c>
      <c r="K148" t="str">
        <f t="shared" si="1"/>
        <v>{n/a_FRAM_distance_deviation_32}</v>
      </c>
    </row>
    <row r="149" spans="1:11" hidden="1" x14ac:dyDescent="0.25">
      <c r="A149" s="1" t="s">
        <v>430</v>
      </c>
      <c r="B149" s="1">
        <v>0</v>
      </c>
      <c r="C149" s="1" t="s">
        <v>1006</v>
      </c>
      <c r="D149" s="1">
        <v>0</v>
      </c>
      <c r="E149" s="1"/>
      <c r="F149" s="1"/>
      <c r="G149" s="1"/>
      <c r="H149" s="1"/>
      <c r="I149" s="1" t="s">
        <v>345</v>
      </c>
      <c r="J149" s="1" t="s">
        <v>345</v>
      </c>
      <c r="K149" t="str">
        <f t="shared" si="1"/>
        <v>{n/a_FRAM_distance_deviation_34}</v>
      </c>
    </row>
    <row r="150" spans="1:11" hidden="1" x14ac:dyDescent="0.25">
      <c r="A150" s="1" t="s">
        <v>431</v>
      </c>
      <c r="B150" s="1">
        <v>0</v>
      </c>
      <c r="C150" s="1" t="s">
        <v>1006</v>
      </c>
      <c r="D150" s="1">
        <v>0</v>
      </c>
      <c r="E150" s="1"/>
      <c r="F150" s="1"/>
      <c r="G150" s="1"/>
      <c r="H150" s="1"/>
      <c r="I150" s="1" t="s">
        <v>345</v>
      </c>
      <c r="J150" s="1" t="s">
        <v>345</v>
      </c>
      <c r="K150" t="str">
        <f t="shared" si="1"/>
        <v>{n/a_FRAM_object_deviation_12}</v>
      </c>
    </row>
    <row r="151" spans="1:11" hidden="1" x14ac:dyDescent="0.25">
      <c r="A151" s="1" t="s">
        <v>432</v>
      </c>
      <c r="B151" s="1">
        <v>0</v>
      </c>
      <c r="C151" s="1" t="s">
        <v>1006</v>
      </c>
      <c r="D151" s="1">
        <v>0</v>
      </c>
      <c r="E151" s="1"/>
      <c r="F151" s="1"/>
      <c r="G151" s="1"/>
      <c r="H151" s="1"/>
      <c r="I151" s="1" t="s">
        <v>345</v>
      </c>
      <c r="J151" s="1" t="s">
        <v>345</v>
      </c>
      <c r="K151" t="str">
        <f t="shared" si="1"/>
        <v>{n/a_FRAM_object_deviation_13}</v>
      </c>
    </row>
    <row r="152" spans="1:11" hidden="1" x14ac:dyDescent="0.25">
      <c r="A152" s="1" t="s">
        <v>433</v>
      </c>
      <c r="B152" s="1">
        <v>0</v>
      </c>
      <c r="C152" s="1" t="s">
        <v>1006</v>
      </c>
      <c r="D152" s="1">
        <v>0</v>
      </c>
      <c r="E152" s="1"/>
      <c r="F152" s="1"/>
      <c r="G152" s="1"/>
      <c r="H152" s="1"/>
      <c r="I152" s="1" t="s">
        <v>345</v>
      </c>
      <c r="J152" s="1" t="s">
        <v>345</v>
      </c>
      <c r="K152" t="str">
        <f t="shared" si="1"/>
        <v>{n/a_FRAM_object_deviation_14}</v>
      </c>
    </row>
    <row r="153" spans="1:11" hidden="1" x14ac:dyDescent="0.25">
      <c r="A153" s="1" t="s">
        <v>434</v>
      </c>
      <c r="B153" s="1">
        <v>0</v>
      </c>
      <c r="C153" s="1" t="s">
        <v>1006</v>
      </c>
      <c r="D153" s="1">
        <v>0</v>
      </c>
      <c r="E153" s="1"/>
      <c r="F153" s="1"/>
      <c r="G153" s="1"/>
      <c r="H153" s="1"/>
      <c r="I153" s="1" t="s">
        <v>345</v>
      </c>
      <c r="J153" s="1" t="s">
        <v>345</v>
      </c>
      <c r="K153" t="str">
        <f t="shared" si="1"/>
        <v>{n/a_FRAM_object_deviation_15}</v>
      </c>
    </row>
    <row r="154" spans="1:11" hidden="1" x14ac:dyDescent="0.25">
      <c r="A154" s="1" t="s">
        <v>435</v>
      </c>
      <c r="B154" s="1">
        <v>0</v>
      </c>
      <c r="C154" s="1" t="s">
        <v>1006</v>
      </c>
      <c r="D154" s="1">
        <v>0</v>
      </c>
      <c r="E154" s="1"/>
      <c r="F154" s="1"/>
      <c r="G154" s="1"/>
      <c r="H154" s="1"/>
      <c r="I154" s="1" t="s">
        <v>345</v>
      </c>
      <c r="J154" s="1" t="s">
        <v>345</v>
      </c>
      <c r="K154" t="str">
        <f t="shared" si="1"/>
        <v>{n/a_FRAM_object_deviation_16}</v>
      </c>
    </row>
    <row r="155" spans="1:11" hidden="1" x14ac:dyDescent="0.25">
      <c r="A155" s="1" t="s">
        <v>436</v>
      </c>
      <c r="B155" s="1">
        <v>0</v>
      </c>
      <c r="C155" s="1" t="s">
        <v>1006</v>
      </c>
      <c r="D155" s="1">
        <v>0</v>
      </c>
      <c r="E155" s="1"/>
      <c r="F155" s="1"/>
      <c r="G155" s="1"/>
      <c r="H155" s="1"/>
      <c r="I155" s="1" t="s">
        <v>345</v>
      </c>
      <c r="J155" s="1" t="s">
        <v>345</v>
      </c>
      <c r="K155" t="str">
        <f t="shared" si="1"/>
        <v>{n/a_FRAM_object_deviation_20}</v>
      </c>
    </row>
    <row r="156" spans="1:11" hidden="1" x14ac:dyDescent="0.25">
      <c r="A156" s="1" t="s">
        <v>437</v>
      </c>
      <c r="B156" s="1">
        <v>0</v>
      </c>
      <c r="C156" s="1" t="s">
        <v>1006</v>
      </c>
      <c r="D156" s="1">
        <v>0</v>
      </c>
      <c r="E156" s="1"/>
      <c r="F156" s="1"/>
      <c r="G156" s="1"/>
      <c r="H156" s="1"/>
      <c r="I156" s="1" t="s">
        <v>345</v>
      </c>
      <c r="J156" s="1" t="s">
        <v>345</v>
      </c>
      <c r="K156" t="str">
        <f t="shared" si="1"/>
        <v>{n/a_FRAM_object_deviation_21}</v>
      </c>
    </row>
    <row r="157" spans="1:11" hidden="1" x14ac:dyDescent="0.25">
      <c r="A157" s="1" t="s">
        <v>438</v>
      </c>
      <c r="B157" s="1">
        <v>0</v>
      </c>
      <c r="C157" s="1" t="s">
        <v>1006</v>
      </c>
      <c r="D157" s="1">
        <v>0</v>
      </c>
      <c r="E157" s="1"/>
      <c r="F157" s="1"/>
      <c r="G157" s="1"/>
      <c r="H157" s="1"/>
      <c r="I157" s="1" t="s">
        <v>345</v>
      </c>
      <c r="J157" s="1" t="s">
        <v>345</v>
      </c>
      <c r="K157" t="str">
        <f t="shared" si="1"/>
        <v>{n/a_FRAM_object_deviation_22}</v>
      </c>
    </row>
    <row r="158" spans="1:11" hidden="1" x14ac:dyDescent="0.25">
      <c r="A158" s="1" t="s">
        <v>439</v>
      </c>
      <c r="B158" s="1">
        <v>0</v>
      </c>
      <c r="C158" s="1" t="s">
        <v>1006</v>
      </c>
      <c r="D158" s="1">
        <v>0</v>
      </c>
      <c r="E158" s="1"/>
      <c r="F158" s="1"/>
      <c r="G158" s="1"/>
      <c r="H158" s="1"/>
      <c r="I158" s="1" t="s">
        <v>345</v>
      </c>
      <c r="J158" s="1" t="s">
        <v>345</v>
      </c>
      <c r="K158" t="str">
        <f t="shared" si="1"/>
        <v>{n/a_FRAM_object_deviation_25}</v>
      </c>
    </row>
    <row r="159" spans="1:11" hidden="1" x14ac:dyDescent="0.25">
      <c r="A159" s="1" t="s">
        <v>440</v>
      </c>
      <c r="B159" s="1">
        <v>0</v>
      </c>
      <c r="C159" s="1" t="s">
        <v>1006</v>
      </c>
      <c r="D159" s="1">
        <v>0</v>
      </c>
      <c r="E159" s="1"/>
      <c r="F159" s="1"/>
      <c r="G159" s="1"/>
      <c r="H159" s="1"/>
      <c r="I159" s="1" t="s">
        <v>345</v>
      </c>
      <c r="J159" s="1" t="s">
        <v>345</v>
      </c>
      <c r="K159" t="str">
        <f t="shared" si="1"/>
        <v>{n/a_FRAM_object_deviation_26}</v>
      </c>
    </row>
    <row r="160" spans="1:11" hidden="1" x14ac:dyDescent="0.25">
      <c r="A160" s="1" t="s">
        <v>441</v>
      </c>
      <c r="B160" s="1">
        <v>0</v>
      </c>
      <c r="C160" s="1" t="s">
        <v>1006</v>
      </c>
      <c r="D160" s="1">
        <v>0</v>
      </c>
      <c r="E160" s="1"/>
      <c r="F160" s="1"/>
      <c r="G160" s="1"/>
      <c r="H160" s="1"/>
      <c r="I160" s="1" t="s">
        <v>345</v>
      </c>
      <c r="J160" s="1" t="s">
        <v>345</v>
      </c>
      <c r="K160" t="str">
        <f t="shared" si="1"/>
        <v>{n/a_FRAM_object_deviation_27}</v>
      </c>
    </row>
    <row r="161" spans="1:11" hidden="1" x14ac:dyDescent="0.25">
      <c r="A161" s="1" t="s">
        <v>442</v>
      </c>
      <c r="B161" s="1">
        <v>0</v>
      </c>
      <c r="C161" s="1" t="s">
        <v>1006</v>
      </c>
      <c r="D161" s="1">
        <v>0</v>
      </c>
      <c r="E161" s="1"/>
      <c r="F161" s="1"/>
      <c r="G161" s="1"/>
      <c r="H161" s="1"/>
      <c r="I161" s="1" t="s">
        <v>345</v>
      </c>
      <c r="J161" s="1" t="s">
        <v>345</v>
      </c>
      <c r="K161" t="str">
        <f t="shared" si="1"/>
        <v>{n/a_FRAM_object_deviation_28}</v>
      </c>
    </row>
    <row r="162" spans="1:11" hidden="1" x14ac:dyDescent="0.25">
      <c r="A162" s="1" t="s">
        <v>443</v>
      </c>
      <c r="B162" s="1">
        <v>0</v>
      </c>
      <c r="C162" s="1" t="s">
        <v>1006</v>
      </c>
      <c r="D162" s="1">
        <v>0</v>
      </c>
      <c r="E162" s="1"/>
      <c r="F162" s="1"/>
      <c r="G162" s="1"/>
      <c r="H162" s="1"/>
      <c r="I162" s="1" t="s">
        <v>345</v>
      </c>
      <c r="J162" s="1" t="s">
        <v>345</v>
      </c>
      <c r="K162" t="str">
        <f t="shared" si="1"/>
        <v>{n/a_FRAM_object_deviation_32}</v>
      </c>
    </row>
    <row r="163" spans="1:11" hidden="1" x14ac:dyDescent="0.25">
      <c r="A163" s="1" t="s">
        <v>444</v>
      </c>
      <c r="B163" s="1">
        <v>0</v>
      </c>
      <c r="C163" s="1" t="s">
        <v>1006</v>
      </c>
      <c r="D163" s="1">
        <v>0</v>
      </c>
      <c r="E163" s="1"/>
      <c r="F163" s="1"/>
      <c r="G163" s="1"/>
      <c r="H163" s="1"/>
      <c r="I163" s="1" t="s">
        <v>345</v>
      </c>
      <c r="J163" s="1" t="s">
        <v>345</v>
      </c>
      <c r="K163" t="str">
        <f t="shared" si="1"/>
        <v>{n/a_FRAM_object_deviation_34}</v>
      </c>
    </row>
    <row r="164" spans="1:11" hidden="1" x14ac:dyDescent="0.25">
      <c r="A164" s="1" t="s">
        <v>445</v>
      </c>
      <c r="B164" s="1">
        <v>0</v>
      </c>
      <c r="C164" s="1" t="s">
        <v>1006</v>
      </c>
      <c r="D164" s="1">
        <v>0</v>
      </c>
      <c r="E164" s="1"/>
      <c r="F164" s="1"/>
      <c r="G164" s="1"/>
      <c r="H164" s="1"/>
      <c r="I164" s="1" t="s">
        <v>345</v>
      </c>
      <c r="J164" s="1" t="s">
        <v>345</v>
      </c>
      <c r="K164" t="str">
        <f t="shared" si="1"/>
        <v>{n/a_FRAM_temporal_deviation_8}</v>
      </c>
    </row>
    <row r="165" spans="1:11" hidden="1" x14ac:dyDescent="0.25">
      <c r="A165" s="1" t="s">
        <v>446</v>
      </c>
      <c r="B165" s="1">
        <v>0</v>
      </c>
      <c r="C165" s="1" t="s">
        <v>1006</v>
      </c>
      <c r="D165" s="1">
        <v>0</v>
      </c>
      <c r="E165" s="1"/>
      <c r="F165" s="1"/>
      <c r="G165" s="1"/>
      <c r="H165" s="1"/>
      <c r="I165" s="1" t="s">
        <v>345</v>
      </c>
      <c r="J165" s="1" t="s">
        <v>345</v>
      </c>
      <c r="K165" t="str">
        <f t="shared" si="1"/>
        <v>{n/a_FRAM_temporal_deviation_12}</v>
      </c>
    </row>
    <row r="166" spans="1:11" hidden="1" x14ac:dyDescent="0.25">
      <c r="A166" s="1" t="s">
        <v>447</v>
      </c>
      <c r="B166" s="1">
        <v>0</v>
      </c>
      <c r="C166" s="1" t="s">
        <v>1006</v>
      </c>
      <c r="D166" s="1">
        <v>0</v>
      </c>
      <c r="E166" s="1"/>
      <c r="F166" s="1"/>
      <c r="G166" s="1"/>
      <c r="H166" s="1"/>
      <c r="I166" s="1" t="s">
        <v>345</v>
      </c>
      <c r="J166" s="1" t="s">
        <v>345</v>
      </c>
      <c r="K166" t="str">
        <f t="shared" si="1"/>
        <v>{n/a_FRAM_temporal_deviation_13}</v>
      </c>
    </row>
    <row r="167" spans="1:11" hidden="1" x14ac:dyDescent="0.25">
      <c r="A167" s="1" t="s">
        <v>448</v>
      </c>
      <c r="B167" s="1">
        <v>0</v>
      </c>
      <c r="C167" s="1" t="s">
        <v>1006</v>
      </c>
      <c r="D167" s="1">
        <v>0</v>
      </c>
      <c r="E167" s="1"/>
      <c r="F167" s="1"/>
      <c r="G167" s="1"/>
      <c r="H167" s="1"/>
      <c r="I167" s="1" t="s">
        <v>345</v>
      </c>
      <c r="J167" s="1" t="s">
        <v>345</v>
      </c>
      <c r="K167" t="str">
        <f t="shared" si="1"/>
        <v>{n/a_FRAM_temporal_deviation_14}</v>
      </c>
    </row>
    <row r="168" spans="1:11" hidden="1" x14ac:dyDescent="0.25">
      <c r="A168" s="1" t="s">
        <v>449</v>
      </c>
      <c r="B168" s="1">
        <v>0</v>
      </c>
      <c r="C168" s="1" t="s">
        <v>1006</v>
      </c>
      <c r="D168" s="1">
        <v>0</v>
      </c>
      <c r="E168" s="1"/>
      <c r="F168" s="1"/>
      <c r="G168" s="1"/>
      <c r="H168" s="1"/>
      <c r="I168" s="1" t="s">
        <v>345</v>
      </c>
      <c r="J168" s="1" t="s">
        <v>345</v>
      </c>
      <c r="K168" t="str">
        <f t="shared" si="1"/>
        <v>{n/a_FRAM_temporal_deviation_15}</v>
      </c>
    </row>
    <row r="169" spans="1:11" hidden="1" x14ac:dyDescent="0.25">
      <c r="A169" s="1" t="s">
        <v>450</v>
      </c>
      <c r="B169" s="1">
        <v>0</v>
      </c>
      <c r="C169" s="1" t="s">
        <v>1006</v>
      </c>
      <c r="D169" s="1">
        <v>0</v>
      </c>
      <c r="E169" s="1"/>
      <c r="F169" s="1"/>
      <c r="G169" s="1"/>
      <c r="H169" s="1"/>
      <c r="I169" s="1" t="s">
        <v>345</v>
      </c>
      <c r="J169" s="1" t="s">
        <v>345</v>
      </c>
      <c r="K169" t="str">
        <f t="shared" si="1"/>
        <v>{n/a_FRAM_temporal_deviation_18}</v>
      </c>
    </row>
    <row r="170" spans="1:11" hidden="1" x14ac:dyDescent="0.25">
      <c r="A170" s="1" t="s">
        <v>451</v>
      </c>
      <c r="B170" s="1">
        <v>0</v>
      </c>
      <c r="C170" s="1" t="s">
        <v>1006</v>
      </c>
      <c r="D170" s="1">
        <v>0</v>
      </c>
      <c r="E170" s="1"/>
      <c r="F170" s="1"/>
      <c r="G170" s="1"/>
      <c r="H170" s="1"/>
      <c r="I170" s="1" t="s">
        <v>345</v>
      </c>
      <c r="J170" s="1" t="s">
        <v>345</v>
      </c>
      <c r="K170" t="str">
        <f t="shared" si="1"/>
        <v>{n/a_FRAM_temporal_deviation_20}</v>
      </c>
    </row>
    <row r="171" spans="1:11" hidden="1" x14ac:dyDescent="0.25">
      <c r="A171" s="1" t="s">
        <v>452</v>
      </c>
      <c r="B171" s="1">
        <v>0</v>
      </c>
      <c r="C171" s="1" t="s">
        <v>1006</v>
      </c>
      <c r="D171" s="1">
        <v>0</v>
      </c>
      <c r="E171" s="1"/>
      <c r="F171" s="1"/>
      <c r="G171" s="1"/>
      <c r="H171" s="1"/>
      <c r="I171" s="1" t="s">
        <v>345</v>
      </c>
      <c r="J171" s="1" t="s">
        <v>345</v>
      </c>
      <c r="K171" t="str">
        <f t="shared" si="1"/>
        <v>{n/a_FRAM_temporal_deviation_24}</v>
      </c>
    </row>
    <row r="172" spans="1:11" hidden="1" x14ac:dyDescent="0.25">
      <c r="A172" s="1" t="s">
        <v>453</v>
      </c>
      <c r="B172" s="1">
        <v>0</v>
      </c>
      <c r="C172" s="1" t="s">
        <v>1006</v>
      </c>
      <c r="D172" s="1">
        <v>0</v>
      </c>
      <c r="E172" s="1"/>
      <c r="F172" s="1"/>
      <c r="G172" s="1"/>
      <c r="H172" s="1"/>
      <c r="I172" s="1" t="s">
        <v>345</v>
      </c>
      <c r="J172" s="1" t="s">
        <v>345</v>
      </c>
      <c r="K172" t="str">
        <f t="shared" si="1"/>
        <v>{n/a_FRAM_temporal_deviation_27}</v>
      </c>
    </row>
    <row r="173" spans="1:11" hidden="1" x14ac:dyDescent="0.25">
      <c r="A173" s="1" t="s">
        <v>454</v>
      </c>
      <c r="B173" s="1">
        <v>0</v>
      </c>
      <c r="C173" s="1" t="s">
        <v>1006</v>
      </c>
      <c r="D173" s="1">
        <v>0</v>
      </c>
      <c r="E173" s="1"/>
      <c r="F173" s="1"/>
      <c r="G173" s="1"/>
      <c r="H173" s="1"/>
      <c r="I173" s="1" t="s">
        <v>345</v>
      </c>
      <c r="J173" s="1" t="s">
        <v>345</v>
      </c>
      <c r="K173" t="str">
        <f t="shared" si="1"/>
        <v>{n/a_FRAM_temporal_deviation_28}</v>
      </c>
    </row>
    <row r="174" spans="1:11" hidden="1" x14ac:dyDescent="0.25">
      <c r="A174" s="1" t="s">
        <v>455</v>
      </c>
      <c r="B174" s="1">
        <v>0</v>
      </c>
      <c r="C174" s="1" t="s">
        <v>1006</v>
      </c>
      <c r="D174" s="1">
        <v>0</v>
      </c>
      <c r="E174" s="1"/>
      <c r="F174" s="1"/>
      <c r="G174" s="1"/>
      <c r="H174" s="1"/>
      <c r="I174" s="1" t="s">
        <v>345</v>
      </c>
      <c r="J174" s="1" t="s">
        <v>345</v>
      </c>
      <c r="K174" t="str">
        <f t="shared" si="1"/>
        <v>{n/a_FRAM_temporal_deviation_32}</v>
      </c>
    </row>
    <row r="175" spans="1:11" hidden="1" x14ac:dyDescent="0.25">
      <c r="A175" s="1" t="s">
        <v>456</v>
      </c>
      <c r="B175" s="1">
        <v>0</v>
      </c>
      <c r="C175" s="1" t="s">
        <v>1006</v>
      </c>
      <c r="D175" s="1">
        <v>0</v>
      </c>
      <c r="E175" s="1"/>
      <c r="F175" s="1"/>
      <c r="G175" s="1"/>
      <c r="H175" s="1"/>
      <c r="I175" s="1" t="s">
        <v>345</v>
      </c>
      <c r="J175" s="1" t="s">
        <v>345</v>
      </c>
      <c r="K175" t="str">
        <f t="shared" si="1"/>
        <v>{n/a_FRAM_temporal_deviation_34}</v>
      </c>
    </row>
  </sheetData>
  <autoFilter ref="D15:D175" xr:uid="{E19D0F87-D539-401C-9365-39628BB7DF26}">
    <filterColumn colId="0">
      <filters>
        <filter val="original"/>
      </filters>
    </filterColumn>
  </autoFilter>
  <mergeCells count="9">
    <mergeCell ref="B14:D14"/>
    <mergeCell ref="B5:E5"/>
    <mergeCell ref="B6:E6"/>
    <mergeCell ref="B7:E7"/>
    <mergeCell ref="B8:E8"/>
    <mergeCell ref="B9:E9"/>
    <mergeCell ref="B10:E10"/>
    <mergeCell ref="B12:E12"/>
    <mergeCell ref="B13:E13"/>
  </mergeCells>
  <phoneticPr fontId="10" type="noConversion"/>
  <conditionalFormatting sqref="D16:D119">
    <cfRule type="cellIs" dxfId="44" priority="1" operator="equal">
      <formula>"not original"</formula>
    </cfRule>
    <cfRule type="cellIs" dxfId="43" priority="2" operator="equal">
      <formula>"original"</formula>
    </cfRule>
  </conditionalFormatting>
  <conditionalFormatting sqref="E16:E114">
    <cfRule type="cellIs" dxfId="42" priority="15" operator="equal">
      <formula>$A$10</formula>
    </cfRule>
    <cfRule type="cellIs" dxfId="41" priority="16" operator="equal">
      <formula>$A$9</formula>
    </cfRule>
  </conditionalFormatting>
  <conditionalFormatting sqref="G16:G114">
    <cfRule type="cellIs" dxfId="40" priority="13" operator="equal">
      <formula>$A$7</formula>
    </cfRule>
    <cfRule type="cellIs" dxfId="39" priority="14" operator="equal">
      <formula>$A$6</formula>
    </cfRule>
  </conditionalFormatting>
  <conditionalFormatting sqref="I16:I175">
    <cfRule type="cellIs" dxfId="38" priority="10" operator="equal">
      <formula>$A$2</formula>
    </cfRule>
    <cfRule type="cellIs" dxfId="37" priority="11" operator="equal">
      <formula>$A$3</formula>
    </cfRule>
    <cfRule type="cellIs" dxfId="36" priority="12" operator="equal">
      <formula>"agree"</formula>
    </cfRule>
  </conditionalFormatting>
  <conditionalFormatting sqref="I16:J175">
    <cfRule type="cellIs" dxfId="35" priority="5" operator="equal">
      <formula>$A$3</formula>
    </cfRule>
  </conditionalFormatting>
  <conditionalFormatting sqref="J16:J175">
    <cfRule type="cellIs" dxfId="34" priority="3" operator="equal">
      <formula>$B$3</formula>
    </cfRule>
    <cfRule type="cellIs" dxfId="33" priority="4" operator="equal">
      <formula>$B$3</formula>
    </cfRule>
    <cfRule type="cellIs" dxfId="32" priority="8" operator="equal">
      <formula>$B$2</formula>
    </cfRule>
  </conditionalFormatting>
  <dataValidations disablePrompts="1" count="5">
    <dataValidation type="list" allowBlank="1" showInputMessage="1" showErrorMessage="1" sqref="E16:E114" xr:uid="{35007208-57CA-46BB-9FDF-E6C77313F44E}">
      <formula1>$A$9:$A$10</formula1>
    </dataValidation>
    <dataValidation type="list" allowBlank="1" showInputMessage="1" showErrorMessage="1" sqref="G16:G114" xr:uid="{7F43D944-88A7-4E94-BDA8-1776B67616D8}">
      <formula1>$A$6:$A$7</formula1>
    </dataValidation>
    <dataValidation type="list" allowBlank="1" showInputMessage="1" showErrorMessage="1" sqref="J16:J175" xr:uid="{D4CD0B62-BA35-46F6-846A-0B846B985B9A}">
      <formula1>$B$2:$B$4</formula1>
    </dataValidation>
    <dataValidation type="list" allowBlank="1" showInputMessage="1" showErrorMessage="1" sqref="I16:I175" xr:uid="{4278C022-CB55-4E49-994A-E3C152948FCF}">
      <formula1>$A$2:$A$4</formula1>
    </dataValidation>
    <dataValidation type="list" allowBlank="1" showInputMessage="1" showErrorMessage="1" sqref="F16:F114" xr:uid="{66504B42-5DC8-4FA5-8853-32A65CFE2E9C}">
      <formula1>$F$2:$F$11</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D5329-59D8-4047-86EF-6F54D6730792}">
  <dimension ref="A1:M148"/>
  <sheetViews>
    <sheetView zoomScale="130" zoomScaleNormal="130" workbookViewId="0">
      <selection sqref="A1:C13"/>
    </sheetView>
  </sheetViews>
  <sheetFormatPr defaultRowHeight="15" x14ac:dyDescent="0.25"/>
  <cols>
    <col min="1" max="1" width="11.28515625" customWidth="1"/>
    <col min="2" max="3" width="29.5703125" customWidth="1"/>
    <col min="4" max="4" width="32" customWidth="1"/>
    <col min="5" max="6" width="18.7109375" customWidth="1"/>
    <col min="7" max="7" width="13.5703125" customWidth="1"/>
    <col min="8" max="8" width="54" customWidth="1"/>
    <col min="9" max="9" width="25.42578125" customWidth="1"/>
    <col min="10" max="10" width="31.140625" customWidth="1"/>
  </cols>
  <sheetData>
    <row r="1" spans="1:13" ht="17.25" thickBot="1" x14ac:dyDescent="0.3">
      <c r="A1" s="9" t="s">
        <v>36</v>
      </c>
      <c r="B1" s="9" t="s">
        <v>338</v>
      </c>
      <c r="C1" s="9" t="s">
        <v>751</v>
      </c>
      <c r="D1" s="5" t="s">
        <v>37</v>
      </c>
      <c r="I1" s="2"/>
    </row>
    <row r="2" spans="1:13" ht="17.25" thickBot="1" x14ac:dyDescent="0.3">
      <c r="A2" s="1" t="s">
        <v>38</v>
      </c>
      <c r="B2" s="4" t="s">
        <v>749</v>
      </c>
      <c r="C2" s="4" t="s">
        <v>43</v>
      </c>
      <c r="D2" s="21" t="s">
        <v>893</v>
      </c>
    </row>
    <row r="3" spans="1:13" ht="17.25" thickBot="1" x14ac:dyDescent="0.3">
      <c r="A3" s="1" t="s">
        <v>39</v>
      </c>
      <c r="B3" s="4" t="s">
        <v>750</v>
      </c>
      <c r="C3" s="4" t="s">
        <v>44</v>
      </c>
      <c r="D3" s="22" t="s">
        <v>894</v>
      </c>
    </row>
    <row r="4" spans="1:13" ht="17.25" thickBot="1" x14ac:dyDescent="0.3">
      <c r="A4" s="1" t="s">
        <v>345</v>
      </c>
      <c r="B4" s="1" t="s">
        <v>345</v>
      </c>
      <c r="C4" s="4"/>
      <c r="D4" s="22" t="s">
        <v>758</v>
      </c>
    </row>
    <row r="5" spans="1:13" ht="17.25" thickBot="1" x14ac:dyDescent="0.3">
      <c r="A5" s="5" t="s">
        <v>47</v>
      </c>
      <c r="B5" s="4" t="s">
        <v>1340</v>
      </c>
      <c r="C5" s="1"/>
      <c r="D5" s="22" t="s">
        <v>759</v>
      </c>
    </row>
    <row r="6" spans="1:13" ht="17.25" thickBot="1" x14ac:dyDescent="0.3">
      <c r="A6" s="1" t="s">
        <v>339</v>
      </c>
      <c r="B6" s="4" t="s">
        <v>343</v>
      </c>
      <c r="C6" s="1"/>
      <c r="D6" s="22" t="s">
        <v>895</v>
      </c>
    </row>
    <row r="7" spans="1:13" ht="17.25" thickBot="1" x14ac:dyDescent="0.3">
      <c r="A7" s="1" t="s">
        <v>340</v>
      </c>
      <c r="B7" s="4" t="s">
        <v>344</v>
      </c>
      <c r="C7" s="1"/>
      <c r="D7" s="22" t="s">
        <v>752</v>
      </c>
    </row>
    <row r="8" spans="1:13" ht="15.75" thickBot="1" x14ac:dyDescent="0.3">
      <c r="A8" s="5" t="s">
        <v>341</v>
      </c>
      <c r="B8" s="41" t="s">
        <v>1338</v>
      </c>
      <c r="C8" s="42"/>
      <c r="D8" s="22" t="s">
        <v>896</v>
      </c>
    </row>
    <row r="9" spans="1:13" ht="15.75" thickBot="1" x14ac:dyDescent="0.3">
      <c r="A9" s="1" t="s">
        <v>53</v>
      </c>
      <c r="B9" s="1" t="s">
        <v>1334</v>
      </c>
      <c r="C9" s="1"/>
      <c r="D9" s="22" t="s">
        <v>897</v>
      </c>
    </row>
    <row r="10" spans="1:13" x14ac:dyDescent="0.25">
      <c r="A10" s="10" t="s">
        <v>166</v>
      </c>
      <c r="B10" s="10" t="s">
        <v>1335</v>
      </c>
      <c r="C10" s="10"/>
      <c r="D10" s="29" t="s">
        <v>898</v>
      </c>
    </row>
    <row r="11" spans="1:13" x14ac:dyDescent="0.25">
      <c r="A11" s="5" t="s">
        <v>346</v>
      </c>
      <c r="B11" s="41" t="s">
        <v>1339</v>
      </c>
      <c r="C11" s="43"/>
      <c r="D11" s="33" t="s">
        <v>899</v>
      </c>
    </row>
    <row r="12" spans="1:13" x14ac:dyDescent="0.25">
      <c r="A12" s="1" t="s">
        <v>645</v>
      </c>
      <c r="B12" s="1" t="s">
        <v>1336</v>
      </c>
      <c r="C12" s="1"/>
      <c r="D12" s="33"/>
    </row>
    <row r="13" spans="1:13" x14ac:dyDescent="0.25">
      <c r="A13" s="1" t="s">
        <v>644</v>
      </c>
      <c r="B13" s="1" t="s">
        <v>1337</v>
      </c>
      <c r="C13" s="1"/>
      <c r="D13" s="33"/>
    </row>
    <row r="14" spans="1:13" s="7" customFormat="1" ht="75" customHeight="1" x14ac:dyDescent="0.25">
      <c r="A14" s="47" t="s">
        <v>84</v>
      </c>
      <c r="B14" s="48"/>
      <c r="C14" s="6"/>
      <c r="D14" s="20" t="s">
        <v>747</v>
      </c>
      <c r="E14" s="20" t="s">
        <v>748</v>
      </c>
      <c r="F14" s="20"/>
      <c r="G14" s="6"/>
      <c r="H14" s="6"/>
      <c r="I14" s="8" t="s">
        <v>45</v>
      </c>
      <c r="J14" s="6"/>
      <c r="K14" s="6"/>
      <c r="L14" s="6"/>
    </row>
    <row r="15" spans="1:13" x14ac:dyDescent="0.25">
      <c r="A15" s="5" t="s">
        <v>1333</v>
      </c>
      <c r="B15" s="5" t="s">
        <v>46</v>
      </c>
      <c r="C15" s="5" t="s">
        <v>650</v>
      </c>
      <c r="D15" s="5" t="s">
        <v>651</v>
      </c>
      <c r="E15" s="5" t="s">
        <v>346</v>
      </c>
      <c r="F15" s="5" t="s">
        <v>746</v>
      </c>
      <c r="G15" s="5" t="s">
        <v>37</v>
      </c>
      <c r="H15" s="5" t="s">
        <v>47</v>
      </c>
      <c r="I15" s="5" t="s">
        <v>754</v>
      </c>
      <c r="J15" s="5" t="s">
        <v>693</v>
      </c>
      <c r="K15" s="5" t="s">
        <v>696</v>
      </c>
      <c r="L15" s="9" t="s">
        <v>36</v>
      </c>
      <c r="M15" s="9" t="s">
        <v>338</v>
      </c>
    </row>
    <row r="16" spans="1:13" x14ac:dyDescent="0.25">
      <c r="A16" s="1">
        <v>1</v>
      </c>
      <c r="B16" s="1" t="s">
        <v>3</v>
      </c>
      <c r="C16" s="1">
        <v>103</v>
      </c>
      <c r="D16" s="18">
        <f>(C16/SUM(C$16:C$148))*100</f>
        <v>25.121951219512194</v>
      </c>
      <c r="E16" s="1" t="s">
        <v>644</v>
      </c>
      <c r="F16" s="1" t="s">
        <v>1</v>
      </c>
      <c r="G16" s="1" t="s">
        <v>755</v>
      </c>
      <c r="H16" s="1" t="str">
        <f>IF(AND(E16="original",F16="atypical"),"Novel","Not novel")</f>
        <v>Not novel</v>
      </c>
      <c r="I16" s="1" t="s">
        <v>761</v>
      </c>
      <c r="J16" s="1" t="s">
        <v>694</v>
      </c>
      <c r="K16" s="1" t="str">
        <f t="shared" ref="K16:K47" si="0">IF(AND(H16="Novel",J16="impactful"),"Black Swan","White Swan")</f>
        <v>White Swan</v>
      </c>
      <c r="L16" s="1" t="s">
        <v>345</v>
      </c>
      <c r="M16" s="1" t="s">
        <v>345</v>
      </c>
    </row>
    <row r="17" spans="1:13" x14ac:dyDescent="0.25">
      <c r="A17" s="1">
        <v>2</v>
      </c>
      <c r="B17" s="1" t="s">
        <v>561</v>
      </c>
      <c r="C17" s="1">
        <v>55</v>
      </c>
      <c r="D17" s="18">
        <f t="shared" ref="D17:D80" si="1">(C17/SUM(C$16:C$148))*100</f>
        <v>13.414634146341465</v>
      </c>
      <c r="E17" s="1" t="s">
        <v>644</v>
      </c>
      <c r="F17" s="1" t="s">
        <v>1</v>
      </c>
      <c r="G17" s="1" t="s">
        <v>755</v>
      </c>
      <c r="H17" s="1" t="str">
        <f t="shared" ref="H17:H80" si="2">IF(AND(E17="original",F17="atypical"),"Novel","Not novel")</f>
        <v>Not novel</v>
      </c>
      <c r="I17" s="1" t="s">
        <v>762</v>
      </c>
      <c r="J17" s="1" t="s">
        <v>694</v>
      </c>
      <c r="K17" s="1" t="str">
        <f t="shared" si="0"/>
        <v>White Swan</v>
      </c>
      <c r="L17" s="1" t="s">
        <v>345</v>
      </c>
      <c r="M17" s="1" t="s">
        <v>345</v>
      </c>
    </row>
    <row r="18" spans="1:13" x14ac:dyDescent="0.25">
      <c r="A18" s="1">
        <v>3</v>
      </c>
      <c r="B18" s="1" t="s">
        <v>221</v>
      </c>
      <c r="C18" s="1">
        <v>10</v>
      </c>
      <c r="D18" s="18">
        <f t="shared" si="1"/>
        <v>2.4390243902439024</v>
      </c>
      <c r="E18" s="1" t="s">
        <v>644</v>
      </c>
      <c r="F18" s="1" t="s">
        <v>1</v>
      </c>
      <c r="G18" s="1" t="s">
        <v>755</v>
      </c>
      <c r="H18" s="1" t="str">
        <f t="shared" si="2"/>
        <v>Not novel</v>
      </c>
      <c r="I18" s="1" t="s">
        <v>763</v>
      </c>
      <c r="J18" s="1" t="s">
        <v>694</v>
      </c>
      <c r="K18" s="1" t="str">
        <f t="shared" si="0"/>
        <v>White Swan</v>
      </c>
      <c r="L18" s="1" t="s">
        <v>345</v>
      </c>
      <c r="M18" s="1" t="s">
        <v>345</v>
      </c>
    </row>
    <row r="19" spans="1:13" x14ac:dyDescent="0.25">
      <c r="A19" s="1">
        <v>4</v>
      </c>
      <c r="B19" s="1" t="s">
        <v>222</v>
      </c>
      <c r="C19" s="1">
        <v>8</v>
      </c>
      <c r="D19" s="18">
        <f t="shared" si="1"/>
        <v>1.9512195121951219</v>
      </c>
      <c r="E19" s="1" t="s">
        <v>645</v>
      </c>
      <c r="F19" s="1" t="s">
        <v>53</v>
      </c>
      <c r="G19" s="1" t="s">
        <v>755</v>
      </c>
      <c r="H19" s="1" t="str">
        <f t="shared" si="2"/>
        <v>Not novel</v>
      </c>
      <c r="I19" s="1" t="s">
        <v>764</v>
      </c>
      <c r="J19" s="1" t="s">
        <v>694</v>
      </c>
      <c r="K19" s="1" t="str">
        <f t="shared" si="0"/>
        <v>White Swan</v>
      </c>
      <c r="L19" s="1" t="s">
        <v>345</v>
      </c>
      <c r="M19" s="1" t="s">
        <v>345</v>
      </c>
    </row>
    <row r="20" spans="1:13" x14ac:dyDescent="0.25">
      <c r="A20" s="1">
        <v>5</v>
      </c>
      <c r="B20" s="1" t="s">
        <v>223</v>
      </c>
      <c r="C20" s="1">
        <v>8</v>
      </c>
      <c r="D20" s="18">
        <f t="shared" si="1"/>
        <v>1.9512195121951219</v>
      </c>
      <c r="E20" s="1" t="s">
        <v>645</v>
      </c>
      <c r="F20" s="1" t="s">
        <v>53</v>
      </c>
      <c r="G20" s="1" t="s">
        <v>755</v>
      </c>
      <c r="H20" s="1" t="str">
        <f t="shared" si="2"/>
        <v>Not novel</v>
      </c>
      <c r="I20" s="1" t="s">
        <v>765</v>
      </c>
      <c r="J20" s="1" t="s">
        <v>694</v>
      </c>
      <c r="K20" s="1" t="str">
        <f t="shared" si="0"/>
        <v>White Swan</v>
      </c>
      <c r="L20" s="1" t="s">
        <v>345</v>
      </c>
      <c r="M20" s="1" t="s">
        <v>345</v>
      </c>
    </row>
    <row r="21" spans="1:13" x14ac:dyDescent="0.25">
      <c r="A21" s="1">
        <v>6</v>
      </c>
      <c r="B21" s="1" t="s">
        <v>224</v>
      </c>
      <c r="C21" s="1">
        <v>7</v>
      </c>
      <c r="D21" s="18">
        <f t="shared" si="1"/>
        <v>1.7073170731707319</v>
      </c>
      <c r="E21" s="1" t="s">
        <v>645</v>
      </c>
      <c r="F21" s="1" t="s">
        <v>53</v>
      </c>
      <c r="G21" s="1" t="s">
        <v>755</v>
      </c>
      <c r="H21" s="1" t="str">
        <f t="shared" si="2"/>
        <v>Not novel</v>
      </c>
      <c r="I21" s="1" t="s">
        <v>766</v>
      </c>
      <c r="J21" s="1" t="s">
        <v>694</v>
      </c>
      <c r="K21" s="1" t="str">
        <f t="shared" si="0"/>
        <v>White Swan</v>
      </c>
      <c r="L21" s="1" t="s">
        <v>345</v>
      </c>
      <c r="M21" s="1" t="s">
        <v>345</v>
      </c>
    </row>
    <row r="22" spans="1:13" x14ac:dyDescent="0.25">
      <c r="A22" s="1">
        <v>7</v>
      </c>
      <c r="B22" s="1" t="s">
        <v>226</v>
      </c>
      <c r="C22" s="1">
        <v>6</v>
      </c>
      <c r="D22" s="18">
        <f t="shared" si="1"/>
        <v>1.4634146341463417</v>
      </c>
      <c r="E22" s="1" t="s">
        <v>645</v>
      </c>
      <c r="F22" s="1" t="s">
        <v>166</v>
      </c>
      <c r="G22" s="1" t="s">
        <v>757</v>
      </c>
      <c r="H22" s="1" t="str">
        <f t="shared" si="2"/>
        <v>Novel</v>
      </c>
      <c r="I22" s="1" t="s">
        <v>767</v>
      </c>
      <c r="J22" s="1" t="s">
        <v>695</v>
      </c>
      <c r="K22" s="1" t="str">
        <f t="shared" si="0"/>
        <v>White Swan</v>
      </c>
      <c r="L22" s="1" t="s">
        <v>345</v>
      </c>
      <c r="M22" s="1" t="s">
        <v>345</v>
      </c>
    </row>
    <row r="23" spans="1:13" x14ac:dyDescent="0.25">
      <c r="A23" s="1">
        <v>8</v>
      </c>
      <c r="B23" s="1" t="s">
        <v>225</v>
      </c>
      <c r="C23" s="1">
        <v>6</v>
      </c>
      <c r="D23" s="18">
        <f t="shared" si="1"/>
        <v>1.4634146341463417</v>
      </c>
      <c r="E23" s="1" t="s">
        <v>645</v>
      </c>
      <c r="F23" s="1" t="s">
        <v>166</v>
      </c>
      <c r="G23" s="1" t="s">
        <v>757</v>
      </c>
      <c r="H23" s="1" t="str">
        <f t="shared" si="2"/>
        <v>Novel</v>
      </c>
      <c r="I23" s="1" t="s">
        <v>768</v>
      </c>
      <c r="J23" s="1" t="s">
        <v>694</v>
      </c>
      <c r="K23" s="1" t="str">
        <f t="shared" si="0"/>
        <v>Black Swan</v>
      </c>
      <c r="L23" s="1" t="s">
        <v>345</v>
      </c>
      <c r="M23" s="1" t="s">
        <v>345</v>
      </c>
    </row>
    <row r="24" spans="1:13" x14ac:dyDescent="0.25">
      <c r="A24" s="1">
        <v>9</v>
      </c>
      <c r="B24" s="1" t="s">
        <v>0</v>
      </c>
      <c r="C24" s="1">
        <v>6</v>
      </c>
      <c r="D24" s="18">
        <f t="shared" si="1"/>
        <v>1.4634146341463417</v>
      </c>
      <c r="E24" s="1" t="s">
        <v>644</v>
      </c>
      <c r="F24" s="1" t="s">
        <v>1</v>
      </c>
      <c r="G24" s="1" t="s">
        <v>755</v>
      </c>
      <c r="H24" s="1" t="str">
        <f t="shared" si="2"/>
        <v>Not novel</v>
      </c>
      <c r="I24" s="1" t="s">
        <v>769</v>
      </c>
      <c r="J24" s="1" t="s">
        <v>694</v>
      </c>
      <c r="K24" s="1" t="str">
        <f t="shared" si="0"/>
        <v>White Swan</v>
      </c>
      <c r="L24" s="1" t="s">
        <v>345</v>
      </c>
      <c r="M24" s="1" t="s">
        <v>345</v>
      </c>
    </row>
    <row r="25" spans="1:13" x14ac:dyDescent="0.25">
      <c r="A25" s="1">
        <v>10</v>
      </c>
      <c r="B25" s="1" t="s">
        <v>753</v>
      </c>
      <c r="C25" s="1">
        <v>6</v>
      </c>
      <c r="D25" s="18">
        <f t="shared" si="1"/>
        <v>1.4634146341463417</v>
      </c>
      <c r="E25" s="1" t="s">
        <v>645</v>
      </c>
      <c r="F25" s="1" t="s">
        <v>337</v>
      </c>
      <c r="G25" s="1" t="s">
        <v>757</v>
      </c>
      <c r="H25" s="1" t="str">
        <f t="shared" si="2"/>
        <v>Novel</v>
      </c>
      <c r="I25" s="1" t="s">
        <v>1002</v>
      </c>
      <c r="J25" s="1" t="s">
        <v>694</v>
      </c>
      <c r="K25" s="1" t="str">
        <f t="shared" si="0"/>
        <v>Black Swan</v>
      </c>
      <c r="L25" s="1" t="s">
        <v>345</v>
      </c>
      <c r="M25" s="1" t="s">
        <v>345</v>
      </c>
    </row>
    <row r="26" spans="1:13" x14ac:dyDescent="0.25">
      <c r="A26" s="1">
        <v>11</v>
      </c>
      <c r="B26" s="1" t="s">
        <v>28</v>
      </c>
      <c r="C26" s="1">
        <v>5</v>
      </c>
      <c r="D26" s="18">
        <f t="shared" si="1"/>
        <v>1.2195121951219512</v>
      </c>
      <c r="E26" s="1" t="s">
        <v>644</v>
      </c>
      <c r="F26" s="1" t="s">
        <v>1</v>
      </c>
      <c r="G26" s="1" t="s">
        <v>755</v>
      </c>
      <c r="H26" s="1" t="str">
        <f t="shared" si="2"/>
        <v>Not novel</v>
      </c>
      <c r="I26" s="1" t="s">
        <v>770</v>
      </c>
      <c r="J26" s="1" t="s">
        <v>695</v>
      </c>
      <c r="K26" s="1" t="str">
        <f t="shared" si="0"/>
        <v>White Swan</v>
      </c>
      <c r="L26" s="1" t="s">
        <v>345</v>
      </c>
      <c r="M26" s="1" t="s">
        <v>345</v>
      </c>
    </row>
    <row r="27" spans="1:13" x14ac:dyDescent="0.25">
      <c r="A27" s="1">
        <v>12</v>
      </c>
      <c r="B27" s="1" t="s">
        <v>228</v>
      </c>
      <c r="C27" s="1">
        <v>5</v>
      </c>
      <c r="D27" s="18">
        <f t="shared" si="1"/>
        <v>1.2195121951219512</v>
      </c>
      <c r="E27" s="1" t="s">
        <v>645</v>
      </c>
      <c r="F27" s="1" t="s">
        <v>1</v>
      </c>
      <c r="G27" s="1" t="s">
        <v>755</v>
      </c>
      <c r="H27" s="1" t="str">
        <f t="shared" si="2"/>
        <v>Not novel</v>
      </c>
      <c r="I27" s="1" t="s">
        <v>771</v>
      </c>
      <c r="J27" s="1" t="s">
        <v>694</v>
      </c>
      <c r="K27" s="1" t="str">
        <f t="shared" si="0"/>
        <v>White Swan</v>
      </c>
      <c r="L27" s="1" t="s">
        <v>345</v>
      </c>
      <c r="M27" s="1" t="s">
        <v>345</v>
      </c>
    </row>
    <row r="28" spans="1:13" x14ac:dyDescent="0.25">
      <c r="A28" s="1">
        <v>13</v>
      </c>
      <c r="B28" s="1" t="s">
        <v>227</v>
      </c>
      <c r="C28" s="1">
        <v>5</v>
      </c>
      <c r="D28" s="18">
        <f t="shared" si="1"/>
        <v>1.2195121951219512</v>
      </c>
      <c r="E28" s="1" t="s">
        <v>645</v>
      </c>
      <c r="F28" s="1" t="s">
        <v>166</v>
      </c>
      <c r="G28" s="1" t="s">
        <v>760</v>
      </c>
      <c r="H28" s="1" t="str">
        <f t="shared" si="2"/>
        <v>Novel</v>
      </c>
      <c r="I28" s="1" t="s">
        <v>772</v>
      </c>
      <c r="J28" s="1" t="s">
        <v>694</v>
      </c>
      <c r="K28" s="1" t="str">
        <f t="shared" si="0"/>
        <v>Black Swan</v>
      </c>
      <c r="L28" s="1" t="s">
        <v>345</v>
      </c>
      <c r="M28" s="1" t="s">
        <v>345</v>
      </c>
    </row>
    <row r="29" spans="1:13" x14ac:dyDescent="0.25">
      <c r="A29" s="1">
        <v>14</v>
      </c>
      <c r="B29" s="1" t="s">
        <v>232</v>
      </c>
      <c r="C29" s="1">
        <v>4</v>
      </c>
      <c r="D29" s="18">
        <f t="shared" si="1"/>
        <v>0.97560975609756095</v>
      </c>
      <c r="E29" s="1" t="s">
        <v>645</v>
      </c>
      <c r="F29" s="1" t="s">
        <v>1</v>
      </c>
      <c r="G29" s="1" t="s">
        <v>755</v>
      </c>
      <c r="H29" s="1" t="str">
        <f t="shared" si="2"/>
        <v>Not novel</v>
      </c>
      <c r="I29" s="1" t="s">
        <v>773</v>
      </c>
      <c r="J29" s="1" t="s">
        <v>694</v>
      </c>
      <c r="K29" s="1" t="str">
        <f t="shared" si="0"/>
        <v>White Swan</v>
      </c>
      <c r="L29" s="1" t="s">
        <v>345</v>
      </c>
      <c r="M29" s="1" t="s">
        <v>345</v>
      </c>
    </row>
    <row r="30" spans="1:13" x14ac:dyDescent="0.25">
      <c r="A30" s="1">
        <v>15</v>
      </c>
      <c r="B30" s="1" t="s">
        <v>230</v>
      </c>
      <c r="C30" s="1">
        <v>4</v>
      </c>
      <c r="D30" s="18">
        <f t="shared" si="1"/>
        <v>0.97560975609756095</v>
      </c>
      <c r="E30" s="1" t="s">
        <v>645</v>
      </c>
      <c r="F30" s="1" t="s">
        <v>1</v>
      </c>
      <c r="G30" s="1" t="s">
        <v>755</v>
      </c>
      <c r="H30" s="1" t="str">
        <f t="shared" si="2"/>
        <v>Not novel</v>
      </c>
      <c r="I30" s="1" t="s">
        <v>774</v>
      </c>
      <c r="J30" s="1" t="s">
        <v>695</v>
      </c>
      <c r="K30" s="1" t="str">
        <f t="shared" si="0"/>
        <v>White Swan</v>
      </c>
      <c r="L30" s="1" t="s">
        <v>345</v>
      </c>
      <c r="M30" s="1" t="s">
        <v>345</v>
      </c>
    </row>
    <row r="31" spans="1:13" x14ac:dyDescent="0.25">
      <c r="A31" s="1">
        <v>16</v>
      </c>
      <c r="B31" s="1" t="s">
        <v>34</v>
      </c>
      <c r="C31" s="1">
        <v>4</v>
      </c>
      <c r="D31" s="18">
        <f t="shared" si="1"/>
        <v>0.97560975609756095</v>
      </c>
      <c r="E31" s="1" t="s">
        <v>644</v>
      </c>
      <c r="F31" s="1" t="s">
        <v>1</v>
      </c>
      <c r="G31" s="1" t="s">
        <v>755</v>
      </c>
      <c r="H31" s="1" t="str">
        <f t="shared" si="2"/>
        <v>Not novel</v>
      </c>
      <c r="I31" s="1" t="s">
        <v>775</v>
      </c>
      <c r="J31" s="1" t="s">
        <v>694</v>
      </c>
      <c r="K31" s="1" t="str">
        <f t="shared" si="0"/>
        <v>White Swan</v>
      </c>
      <c r="L31" s="1" t="s">
        <v>345</v>
      </c>
      <c r="M31" s="1" t="s">
        <v>345</v>
      </c>
    </row>
    <row r="32" spans="1:13" x14ac:dyDescent="0.25">
      <c r="A32" s="1">
        <v>17</v>
      </c>
      <c r="B32" s="1" t="s">
        <v>229</v>
      </c>
      <c r="C32" s="1">
        <v>4</v>
      </c>
      <c r="D32" s="18">
        <f t="shared" si="1"/>
        <v>0.97560975609756095</v>
      </c>
      <c r="E32" s="1" t="s">
        <v>645</v>
      </c>
      <c r="F32" s="1" t="s">
        <v>337</v>
      </c>
      <c r="G32" s="1" t="s">
        <v>757</v>
      </c>
      <c r="H32" s="1" t="str">
        <f t="shared" si="2"/>
        <v>Novel</v>
      </c>
      <c r="I32" s="1" t="s">
        <v>776</v>
      </c>
      <c r="J32" s="1" t="s">
        <v>695</v>
      </c>
      <c r="K32" s="1" t="str">
        <f t="shared" si="0"/>
        <v>White Swan</v>
      </c>
      <c r="L32" s="1" t="s">
        <v>345</v>
      </c>
      <c r="M32" s="1" t="s">
        <v>345</v>
      </c>
    </row>
    <row r="33" spans="1:13" x14ac:dyDescent="0.25">
      <c r="A33" s="1">
        <v>18</v>
      </c>
      <c r="B33" s="1" t="s">
        <v>233</v>
      </c>
      <c r="C33" s="1">
        <v>4</v>
      </c>
      <c r="D33" s="18">
        <f t="shared" si="1"/>
        <v>0.97560975609756095</v>
      </c>
      <c r="E33" s="1" t="s">
        <v>645</v>
      </c>
      <c r="F33" s="1" t="s">
        <v>1</v>
      </c>
      <c r="G33" s="1" t="s">
        <v>755</v>
      </c>
      <c r="H33" s="1" t="str">
        <f t="shared" si="2"/>
        <v>Not novel</v>
      </c>
      <c r="I33" s="1" t="s">
        <v>777</v>
      </c>
      <c r="J33" s="1" t="s">
        <v>694</v>
      </c>
      <c r="K33" s="1" t="str">
        <f t="shared" si="0"/>
        <v>White Swan</v>
      </c>
      <c r="L33" s="1" t="s">
        <v>345</v>
      </c>
      <c r="M33" s="1" t="s">
        <v>345</v>
      </c>
    </row>
    <row r="34" spans="1:13" x14ac:dyDescent="0.25">
      <c r="A34" s="1">
        <v>19</v>
      </c>
      <c r="B34" s="1" t="s">
        <v>231</v>
      </c>
      <c r="C34" s="1">
        <v>4</v>
      </c>
      <c r="D34" s="18">
        <f t="shared" si="1"/>
        <v>0.97560975609756095</v>
      </c>
      <c r="E34" s="1" t="s">
        <v>645</v>
      </c>
      <c r="F34" s="1" t="s">
        <v>1</v>
      </c>
      <c r="G34" s="1" t="s">
        <v>755</v>
      </c>
      <c r="H34" s="1" t="str">
        <f t="shared" si="2"/>
        <v>Not novel</v>
      </c>
      <c r="I34" s="1" t="s">
        <v>778</v>
      </c>
      <c r="J34" s="1" t="s">
        <v>695</v>
      </c>
      <c r="K34" s="1" t="str">
        <f t="shared" si="0"/>
        <v>White Swan</v>
      </c>
      <c r="L34" s="1" t="s">
        <v>345</v>
      </c>
      <c r="M34" s="1" t="s">
        <v>345</v>
      </c>
    </row>
    <row r="35" spans="1:13" x14ac:dyDescent="0.25">
      <c r="A35" s="1">
        <v>20</v>
      </c>
      <c r="B35" s="1" t="s">
        <v>235</v>
      </c>
      <c r="C35" s="1">
        <v>3</v>
      </c>
      <c r="D35" s="18">
        <f t="shared" si="1"/>
        <v>0.73170731707317083</v>
      </c>
      <c r="E35" s="1" t="s">
        <v>645</v>
      </c>
      <c r="F35" s="1" t="s">
        <v>337</v>
      </c>
      <c r="G35" s="1" t="s">
        <v>757</v>
      </c>
      <c r="H35" s="1" t="str">
        <f t="shared" si="2"/>
        <v>Novel</v>
      </c>
      <c r="I35" s="1" t="s">
        <v>779</v>
      </c>
      <c r="J35" s="1" t="s">
        <v>694</v>
      </c>
      <c r="K35" s="1" t="str">
        <f t="shared" si="0"/>
        <v>Black Swan</v>
      </c>
      <c r="L35" s="1" t="s">
        <v>345</v>
      </c>
      <c r="M35" s="1" t="s">
        <v>345</v>
      </c>
    </row>
    <row r="36" spans="1:13" x14ac:dyDescent="0.25">
      <c r="A36" s="1">
        <v>21</v>
      </c>
      <c r="B36" s="1" t="s">
        <v>51</v>
      </c>
      <c r="C36" s="1">
        <v>3</v>
      </c>
      <c r="D36" s="18">
        <f t="shared" si="1"/>
        <v>0.73170731707317083</v>
      </c>
      <c r="E36" s="1" t="s">
        <v>644</v>
      </c>
      <c r="F36" s="1" t="s">
        <v>1</v>
      </c>
      <c r="G36" s="1" t="s">
        <v>755</v>
      </c>
      <c r="H36" s="1" t="str">
        <f t="shared" si="2"/>
        <v>Not novel</v>
      </c>
      <c r="I36" s="1" t="s">
        <v>780</v>
      </c>
      <c r="J36" s="1" t="s">
        <v>695</v>
      </c>
      <c r="K36" s="1" t="str">
        <f t="shared" si="0"/>
        <v>White Swan</v>
      </c>
      <c r="L36" s="1" t="s">
        <v>345</v>
      </c>
      <c r="M36" s="1" t="s">
        <v>345</v>
      </c>
    </row>
    <row r="37" spans="1:13" x14ac:dyDescent="0.25">
      <c r="A37" s="1">
        <v>22</v>
      </c>
      <c r="B37" s="1" t="s">
        <v>236</v>
      </c>
      <c r="C37" s="1">
        <v>3</v>
      </c>
      <c r="D37" s="18">
        <f t="shared" si="1"/>
        <v>0.73170731707317083</v>
      </c>
      <c r="E37" s="1" t="s">
        <v>645</v>
      </c>
      <c r="F37" s="1" t="s">
        <v>337</v>
      </c>
      <c r="G37" s="1" t="s">
        <v>756</v>
      </c>
      <c r="H37" s="1" t="str">
        <f t="shared" si="2"/>
        <v>Novel</v>
      </c>
      <c r="I37" s="1" t="s">
        <v>781</v>
      </c>
      <c r="J37" s="1" t="s">
        <v>694</v>
      </c>
      <c r="K37" s="1" t="str">
        <f t="shared" si="0"/>
        <v>Black Swan</v>
      </c>
      <c r="L37" s="1" t="s">
        <v>345</v>
      </c>
      <c r="M37" s="1" t="s">
        <v>345</v>
      </c>
    </row>
    <row r="38" spans="1:13" x14ac:dyDescent="0.25">
      <c r="A38" s="1">
        <v>23</v>
      </c>
      <c r="B38" s="1" t="s">
        <v>646</v>
      </c>
      <c r="C38" s="1">
        <v>3</v>
      </c>
      <c r="D38" s="18">
        <f t="shared" si="1"/>
        <v>0.73170731707317083</v>
      </c>
      <c r="E38" s="1" t="s">
        <v>644</v>
      </c>
      <c r="F38" s="1" t="s">
        <v>1</v>
      </c>
      <c r="G38" s="1" t="s">
        <v>755</v>
      </c>
      <c r="H38" s="1" t="str">
        <f t="shared" si="2"/>
        <v>Not novel</v>
      </c>
      <c r="I38" s="1" t="s">
        <v>782</v>
      </c>
      <c r="J38" s="1" t="s">
        <v>695</v>
      </c>
      <c r="K38" s="1" t="str">
        <f t="shared" si="0"/>
        <v>White Swan</v>
      </c>
      <c r="L38" s="1" t="s">
        <v>345</v>
      </c>
      <c r="M38" s="1" t="s">
        <v>345</v>
      </c>
    </row>
    <row r="39" spans="1:13" x14ac:dyDescent="0.25">
      <c r="A39" s="1">
        <v>24</v>
      </c>
      <c r="B39" s="1" t="s">
        <v>33</v>
      </c>
      <c r="C39" s="1">
        <v>3</v>
      </c>
      <c r="D39" s="18">
        <f t="shared" si="1"/>
        <v>0.73170731707317083</v>
      </c>
      <c r="E39" s="1" t="s">
        <v>645</v>
      </c>
      <c r="F39" s="1" t="s">
        <v>1</v>
      </c>
      <c r="G39" s="1" t="s">
        <v>755</v>
      </c>
      <c r="H39" s="1" t="str">
        <f t="shared" si="2"/>
        <v>Not novel</v>
      </c>
      <c r="I39" s="1" t="s">
        <v>783</v>
      </c>
      <c r="J39" s="1" t="s">
        <v>694</v>
      </c>
      <c r="K39" s="1" t="str">
        <f t="shared" si="0"/>
        <v>White Swan</v>
      </c>
      <c r="L39" s="1" t="s">
        <v>345</v>
      </c>
      <c r="M39" s="1" t="s">
        <v>345</v>
      </c>
    </row>
    <row r="40" spans="1:13" x14ac:dyDescent="0.25">
      <c r="A40" s="1">
        <v>25</v>
      </c>
      <c r="B40" s="1" t="s">
        <v>239</v>
      </c>
      <c r="C40" s="1">
        <v>3</v>
      </c>
      <c r="D40" s="18">
        <f t="shared" si="1"/>
        <v>0.73170731707317083</v>
      </c>
      <c r="E40" s="1" t="s">
        <v>645</v>
      </c>
      <c r="F40" s="1" t="s">
        <v>1</v>
      </c>
      <c r="G40" s="1" t="s">
        <v>755</v>
      </c>
      <c r="H40" s="1" t="str">
        <f t="shared" si="2"/>
        <v>Not novel</v>
      </c>
      <c r="I40" s="1" t="s">
        <v>784</v>
      </c>
      <c r="J40" s="1" t="s">
        <v>694</v>
      </c>
      <c r="K40" s="1" t="str">
        <f t="shared" si="0"/>
        <v>White Swan</v>
      </c>
      <c r="L40" s="1" t="s">
        <v>345</v>
      </c>
      <c r="M40" s="1" t="s">
        <v>345</v>
      </c>
    </row>
    <row r="41" spans="1:13" x14ac:dyDescent="0.25">
      <c r="A41" s="1">
        <v>26</v>
      </c>
      <c r="B41" s="1" t="s">
        <v>32</v>
      </c>
      <c r="C41" s="1">
        <v>3</v>
      </c>
      <c r="D41" s="18">
        <f t="shared" si="1"/>
        <v>0.73170731707317083</v>
      </c>
      <c r="E41" s="1" t="s">
        <v>644</v>
      </c>
      <c r="F41" s="1" t="s">
        <v>1</v>
      </c>
      <c r="G41" s="1" t="s">
        <v>755</v>
      </c>
      <c r="H41" s="1" t="str">
        <f t="shared" si="2"/>
        <v>Not novel</v>
      </c>
      <c r="I41" s="1" t="s">
        <v>785</v>
      </c>
      <c r="J41" s="1" t="s">
        <v>695</v>
      </c>
      <c r="K41" s="1" t="str">
        <f t="shared" si="0"/>
        <v>White Swan</v>
      </c>
      <c r="L41" s="1" t="s">
        <v>345</v>
      </c>
      <c r="M41" s="1" t="s">
        <v>345</v>
      </c>
    </row>
    <row r="42" spans="1:13" x14ac:dyDescent="0.25">
      <c r="A42" s="1">
        <v>27</v>
      </c>
      <c r="B42" s="1" t="s">
        <v>237</v>
      </c>
      <c r="C42" s="1">
        <v>3</v>
      </c>
      <c r="D42" s="18">
        <f t="shared" si="1"/>
        <v>0.73170731707317083</v>
      </c>
      <c r="E42" s="1" t="s">
        <v>645</v>
      </c>
      <c r="F42" s="1" t="s">
        <v>337</v>
      </c>
      <c r="G42" s="1" t="s">
        <v>757</v>
      </c>
      <c r="H42" s="1" t="str">
        <f t="shared" si="2"/>
        <v>Novel</v>
      </c>
      <c r="I42" s="1" t="s">
        <v>786</v>
      </c>
      <c r="J42" s="1" t="s">
        <v>694</v>
      </c>
      <c r="K42" s="1" t="str">
        <f t="shared" si="0"/>
        <v>Black Swan</v>
      </c>
      <c r="L42" s="1" t="s">
        <v>345</v>
      </c>
      <c r="M42" s="1" t="s">
        <v>345</v>
      </c>
    </row>
    <row r="43" spans="1:13" x14ac:dyDescent="0.25">
      <c r="A43" s="1">
        <v>28</v>
      </c>
      <c r="B43" s="1" t="s">
        <v>238</v>
      </c>
      <c r="C43" s="1">
        <v>3</v>
      </c>
      <c r="D43" s="18">
        <f t="shared" si="1"/>
        <v>0.73170731707317083</v>
      </c>
      <c r="E43" s="1" t="s">
        <v>645</v>
      </c>
      <c r="F43" s="1" t="s">
        <v>1</v>
      </c>
      <c r="G43" s="1" t="s">
        <v>755</v>
      </c>
      <c r="H43" s="1" t="str">
        <f t="shared" si="2"/>
        <v>Not novel</v>
      </c>
      <c r="I43" s="1" t="s">
        <v>787</v>
      </c>
      <c r="J43" s="1" t="s">
        <v>694</v>
      </c>
      <c r="K43" s="1" t="str">
        <f t="shared" si="0"/>
        <v>White Swan</v>
      </c>
      <c r="L43" s="1" t="s">
        <v>345</v>
      </c>
      <c r="M43" s="1" t="s">
        <v>345</v>
      </c>
    </row>
    <row r="44" spans="1:13" x14ac:dyDescent="0.25">
      <c r="A44" s="1">
        <v>29</v>
      </c>
      <c r="B44" s="1" t="s">
        <v>52</v>
      </c>
      <c r="C44" s="1">
        <v>3</v>
      </c>
      <c r="D44" s="18">
        <f t="shared" si="1"/>
        <v>0.73170731707317083</v>
      </c>
      <c r="E44" s="1" t="s">
        <v>644</v>
      </c>
      <c r="F44" s="1" t="s">
        <v>1</v>
      </c>
      <c r="G44" s="1" t="s">
        <v>755</v>
      </c>
      <c r="H44" s="1" t="str">
        <f t="shared" si="2"/>
        <v>Not novel</v>
      </c>
      <c r="I44" s="1" t="s">
        <v>788</v>
      </c>
      <c r="J44" s="1" t="s">
        <v>694</v>
      </c>
      <c r="K44" s="1" t="str">
        <f t="shared" si="0"/>
        <v>White Swan</v>
      </c>
      <c r="L44" s="1" t="s">
        <v>345</v>
      </c>
      <c r="M44" s="1" t="s">
        <v>345</v>
      </c>
    </row>
    <row r="45" spans="1:13" x14ac:dyDescent="0.25">
      <c r="A45" s="1">
        <v>30</v>
      </c>
      <c r="B45" s="1" t="s">
        <v>255</v>
      </c>
      <c r="C45" s="1">
        <v>2</v>
      </c>
      <c r="D45" s="18">
        <f t="shared" si="1"/>
        <v>0.48780487804878048</v>
      </c>
      <c r="E45" s="1" t="s">
        <v>645</v>
      </c>
      <c r="F45" s="1" t="s">
        <v>1</v>
      </c>
      <c r="G45" s="1" t="s">
        <v>755</v>
      </c>
      <c r="H45" s="1" t="str">
        <f t="shared" si="2"/>
        <v>Not novel</v>
      </c>
      <c r="I45" s="1" t="s">
        <v>789</v>
      </c>
      <c r="J45" s="1" t="s">
        <v>694</v>
      </c>
      <c r="K45" s="1" t="str">
        <f t="shared" si="0"/>
        <v>White Swan</v>
      </c>
      <c r="L45" s="1" t="s">
        <v>345</v>
      </c>
      <c r="M45" s="1" t="s">
        <v>345</v>
      </c>
    </row>
    <row r="46" spans="1:13" x14ac:dyDescent="0.25">
      <c r="A46" s="1">
        <v>31</v>
      </c>
      <c r="B46" s="1" t="s">
        <v>256</v>
      </c>
      <c r="C46" s="1">
        <v>2</v>
      </c>
      <c r="D46" s="18">
        <f t="shared" si="1"/>
        <v>0.48780487804878048</v>
      </c>
      <c r="E46" s="1" t="s">
        <v>645</v>
      </c>
      <c r="F46" s="1" t="s">
        <v>337</v>
      </c>
      <c r="G46" s="1" t="s">
        <v>752</v>
      </c>
      <c r="H46" s="1" t="str">
        <f t="shared" si="2"/>
        <v>Novel</v>
      </c>
      <c r="I46" s="1" t="s">
        <v>790</v>
      </c>
      <c r="J46" s="1" t="s">
        <v>694</v>
      </c>
      <c r="K46" s="1" t="str">
        <f t="shared" si="0"/>
        <v>Black Swan</v>
      </c>
      <c r="L46" s="1" t="s">
        <v>345</v>
      </c>
      <c r="M46" s="1" t="s">
        <v>345</v>
      </c>
    </row>
    <row r="47" spans="1:13" x14ac:dyDescent="0.25">
      <c r="A47" s="1">
        <v>32</v>
      </c>
      <c r="B47" s="1" t="s">
        <v>244</v>
      </c>
      <c r="C47" s="1">
        <v>2</v>
      </c>
      <c r="D47" s="18">
        <f t="shared" si="1"/>
        <v>0.48780487804878048</v>
      </c>
      <c r="E47" s="1" t="s">
        <v>645</v>
      </c>
      <c r="F47" s="1" t="s">
        <v>337</v>
      </c>
      <c r="G47" s="1" t="s">
        <v>757</v>
      </c>
      <c r="H47" s="1" t="str">
        <f t="shared" si="2"/>
        <v>Novel</v>
      </c>
      <c r="I47" s="1" t="s">
        <v>791</v>
      </c>
      <c r="J47" s="1" t="s">
        <v>694</v>
      </c>
      <c r="K47" s="1" t="str">
        <f t="shared" si="0"/>
        <v>Black Swan</v>
      </c>
      <c r="L47" s="1" t="s">
        <v>345</v>
      </c>
      <c r="M47" s="1" t="s">
        <v>345</v>
      </c>
    </row>
    <row r="48" spans="1:13" x14ac:dyDescent="0.25">
      <c r="A48" s="1">
        <v>33</v>
      </c>
      <c r="B48" s="1" t="s">
        <v>254</v>
      </c>
      <c r="C48" s="1">
        <v>2</v>
      </c>
      <c r="D48" s="18">
        <f t="shared" si="1"/>
        <v>0.48780487804878048</v>
      </c>
      <c r="E48" s="1" t="s">
        <v>645</v>
      </c>
      <c r="F48" s="1" t="s">
        <v>1</v>
      </c>
      <c r="G48" s="1" t="s">
        <v>755</v>
      </c>
      <c r="H48" s="1" t="str">
        <f t="shared" si="2"/>
        <v>Not novel</v>
      </c>
      <c r="I48" s="1" t="s">
        <v>792</v>
      </c>
      <c r="J48" s="1" t="s">
        <v>694</v>
      </c>
      <c r="K48" s="1" t="str">
        <f t="shared" ref="K48:K79" si="3">IF(AND(H48="Novel",J48="impactful"),"Black Swan","White Swan")</f>
        <v>White Swan</v>
      </c>
      <c r="L48" s="1" t="s">
        <v>345</v>
      </c>
      <c r="M48" s="1" t="s">
        <v>345</v>
      </c>
    </row>
    <row r="49" spans="1:13" x14ac:dyDescent="0.25">
      <c r="A49" s="1">
        <v>34</v>
      </c>
      <c r="B49" s="1" t="s">
        <v>251</v>
      </c>
      <c r="C49" s="1">
        <v>2</v>
      </c>
      <c r="D49" s="18">
        <f t="shared" si="1"/>
        <v>0.48780487804878048</v>
      </c>
      <c r="E49" s="1" t="s">
        <v>645</v>
      </c>
      <c r="F49" s="1" t="s">
        <v>337</v>
      </c>
      <c r="G49" s="1" t="s">
        <v>757</v>
      </c>
      <c r="H49" s="1" t="str">
        <f t="shared" si="2"/>
        <v>Novel</v>
      </c>
      <c r="I49" s="1" t="s">
        <v>793</v>
      </c>
      <c r="J49" s="1" t="s">
        <v>694</v>
      </c>
      <c r="K49" s="1" t="str">
        <f t="shared" si="3"/>
        <v>Black Swan</v>
      </c>
      <c r="L49" s="1" t="s">
        <v>345</v>
      </c>
      <c r="M49" s="1" t="s">
        <v>345</v>
      </c>
    </row>
    <row r="50" spans="1:13" x14ac:dyDescent="0.25">
      <c r="A50" s="1">
        <v>35</v>
      </c>
      <c r="B50" s="1" t="s">
        <v>252</v>
      </c>
      <c r="C50" s="1">
        <v>2</v>
      </c>
      <c r="D50" s="18">
        <f t="shared" si="1"/>
        <v>0.48780487804878048</v>
      </c>
      <c r="E50" s="1" t="s">
        <v>645</v>
      </c>
      <c r="F50" s="1" t="s">
        <v>337</v>
      </c>
      <c r="G50" s="1" t="s">
        <v>757</v>
      </c>
      <c r="H50" s="1" t="str">
        <f t="shared" si="2"/>
        <v>Novel</v>
      </c>
      <c r="I50" s="1" t="s">
        <v>794</v>
      </c>
      <c r="J50" s="1" t="s">
        <v>694</v>
      </c>
      <c r="K50" s="1" t="str">
        <f t="shared" si="3"/>
        <v>Black Swan</v>
      </c>
      <c r="L50" s="1" t="s">
        <v>345</v>
      </c>
      <c r="M50" s="1" t="s">
        <v>345</v>
      </c>
    </row>
    <row r="51" spans="1:13" x14ac:dyDescent="0.25">
      <c r="A51" s="1">
        <v>36</v>
      </c>
      <c r="B51" s="1" t="s">
        <v>248</v>
      </c>
      <c r="C51" s="1">
        <v>2</v>
      </c>
      <c r="D51" s="18">
        <f t="shared" si="1"/>
        <v>0.48780487804878048</v>
      </c>
      <c r="E51" s="1" t="s">
        <v>645</v>
      </c>
      <c r="F51" s="1" t="s">
        <v>1</v>
      </c>
      <c r="G51" s="1" t="s">
        <v>755</v>
      </c>
      <c r="H51" s="1" t="str">
        <f t="shared" si="2"/>
        <v>Not novel</v>
      </c>
      <c r="I51" s="1" t="s">
        <v>795</v>
      </c>
      <c r="J51" s="1" t="s">
        <v>694</v>
      </c>
      <c r="K51" s="1" t="str">
        <f t="shared" si="3"/>
        <v>White Swan</v>
      </c>
      <c r="L51" s="1" t="s">
        <v>345</v>
      </c>
      <c r="M51" s="1" t="s">
        <v>345</v>
      </c>
    </row>
    <row r="52" spans="1:13" x14ac:dyDescent="0.25">
      <c r="A52" s="1">
        <v>37</v>
      </c>
      <c r="B52" s="1" t="s">
        <v>249</v>
      </c>
      <c r="C52" s="1">
        <v>2</v>
      </c>
      <c r="D52" s="18">
        <f t="shared" si="1"/>
        <v>0.48780487804878048</v>
      </c>
      <c r="E52" s="1" t="s">
        <v>644</v>
      </c>
      <c r="F52" s="1" t="s">
        <v>1</v>
      </c>
      <c r="G52" s="1" t="s">
        <v>755</v>
      </c>
      <c r="H52" s="1" t="str">
        <f t="shared" si="2"/>
        <v>Not novel</v>
      </c>
      <c r="I52" s="1" t="s">
        <v>796</v>
      </c>
      <c r="J52" s="1" t="s">
        <v>695</v>
      </c>
      <c r="K52" s="1" t="str">
        <f t="shared" si="3"/>
        <v>White Swan</v>
      </c>
      <c r="L52" s="1" t="s">
        <v>345</v>
      </c>
      <c r="M52" s="1" t="s">
        <v>345</v>
      </c>
    </row>
    <row r="53" spans="1:13" x14ac:dyDescent="0.25">
      <c r="A53" s="1">
        <v>38</v>
      </c>
      <c r="B53" s="1" t="s">
        <v>247</v>
      </c>
      <c r="C53" s="1">
        <v>2</v>
      </c>
      <c r="D53" s="18">
        <f t="shared" si="1"/>
        <v>0.48780487804878048</v>
      </c>
      <c r="E53" s="1" t="s">
        <v>645</v>
      </c>
      <c r="F53" s="1" t="s">
        <v>337</v>
      </c>
      <c r="G53" s="1" t="s">
        <v>757</v>
      </c>
      <c r="H53" s="1" t="str">
        <f t="shared" si="2"/>
        <v>Novel</v>
      </c>
      <c r="I53" s="1" t="s">
        <v>797</v>
      </c>
      <c r="J53" s="1" t="s">
        <v>694</v>
      </c>
      <c r="K53" s="1" t="str">
        <f t="shared" si="3"/>
        <v>Black Swan</v>
      </c>
      <c r="L53" s="1" t="s">
        <v>345</v>
      </c>
      <c r="M53" s="1" t="s">
        <v>345</v>
      </c>
    </row>
    <row r="54" spans="1:13" x14ac:dyDescent="0.25">
      <c r="A54" s="1">
        <v>39</v>
      </c>
      <c r="B54" s="1" t="s">
        <v>250</v>
      </c>
      <c r="C54" s="1">
        <v>2</v>
      </c>
      <c r="D54" s="18">
        <f t="shared" si="1"/>
        <v>0.48780487804878048</v>
      </c>
      <c r="E54" s="1" t="s">
        <v>645</v>
      </c>
      <c r="F54" s="1" t="s">
        <v>1</v>
      </c>
      <c r="G54" s="1" t="s">
        <v>755</v>
      </c>
      <c r="H54" s="1" t="str">
        <f t="shared" si="2"/>
        <v>Not novel</v>
      </c>
      <c r="I54" s="1" t="s">
        <v>798</v>
      </c>
      <c r="J54" s="1" t="s">
        <v>694</v>
      </c>
      <c r="K54" s="1" t="str">
        <f t="shared" si="3"/>
        <v>White Swan</v>
      </c>
      <c r="L54" s="1" t="s">
        <v>345</v>
      </c>
      <c r="M54" s="1" t="s">
        <v>345</v>
      </c>
    </row>
    <row r="55" spans="1:13" x14ac:dyDescent="0.25">
      <c r="A55" s="1">
        <v>40</v>
      </c>
      <c r="B55" s="1" t="s">
        <v>243</v>
      </c>
      <c r="C55" s="1">
        <v>2</v>
      </c>
      <c r="D55" s="18">
        <f t="shared" si="1"/>
        <v>0.48780487804878048</v>
      </c>
      <c r="E55" s="1" t="s">
        <v>645</v>
      </c>
      <c r="F55" s="1" t="s">
        <v>53</v>
      </c>
      <c r="G55" s="1" t="s">
        <v>755</v>
      </c>
      <c r="H55" s="1" t="str">
        <f t="shared" si="2"/>
        <v>Not novel</v>
      </c>
      <c r="I55" s="1" t="s">
        <v>799</v>
      </c>
      <c r="J55" s="1" t="s">
        <v>695</v>
      </c>
      <c r="K55" s="1" t="str">
        <f t="shared" si="3"/>
        <v>White Swan</v>
      </c>
      <c r="L55" s="1" t="s">
        <v>345</v>
      </c>
      <c r="M55" s="1" t="s">
        <v>345</v>
      </c>
    </row>
    <row r="56" spans="1:13" x14ac:dyDescent="0.25">
      <c r="A56" s="1">
        <v>41</v>
      </c>
      <c r="B56" s="1" t="s">
        <v>258</v>
      </c>
      <c r="C56" s="1">
        <v>2</v>
      </c>
      <c r="D56" s="18">
        <f t="shared" si="1"/>
        <v>0.48780487804878048</v>
      </c>
      <c r="E56" s="1" t="s">
        <v>645</v>
      </c>
      <c r="F56" s="1" t="s">
        <v>53</v>
      </c>
      <c r="G56" s="1" t="s">
        <v>755</v>
      </c>
      <c r="H56" s="1" t="str">
        <f t="shared" si="2"/>
        <v>Not novel</v>
      </c>
      <c r="I56" s="1" t="s">
        <v>800</v>
      </c>
      <c r="J56" s="1" t="s">
        <v>694</v>
      </c>
      <c r="K56" s="1" t="str">
        <f t="shared" si="3"/>
        <v>White Swan</v>
      </c>
      <c r="L56" s="1" t="s">
        <v>345</v>
      </c>
      <c r="M56" s="1" t="s">
        <v>345</v>
      </c>
    </row>
    <row r="57" spans="1:13" x14ac:dyDescent="0.25">
      <c r="A57" s="1">
        <v>42</v>
      </c>
      <c r="B57" s="1" t="s">
        <v>241</v>
      </c>
      <c r="C57" s="1">
        <v>2</v>
      </c>
      <c r="D57" s="18">
        <f t="shared" si="1"/>
        <v>0.48780487804878048</v>
      </c>
      <c r="E57" s="1" t="s">
        <v>645</v>
      </c>
      <c r="F57" s="1" t="s">
        <v>1</v>
      </c>
      <c r="G57" s="1" t="s">
        <v>755</v>
      </c>
      <c r="H57" s="1" t="str">
        <f t="shared" si="2"/>
        <v>Not novel</v>
      </c>
      <c r="I57" s="1" t="s">
        <v>801</v>
      </c>
      <c r="J57" s="1" t="s">
        <v>695</v>
      </c>
      <c r="K57" s="1" t="str">
        <f t="shared" si="3"/>
        <v>White Swan</v>
      </c>
      <c r="L57" s="1" t="s">
        <v>345</v>
      </c>
      <c r="M57" s="1" t="s">
        <v>345</v>
      </c>
    </row>
    <row r="58" spans="1:13" x14ac:dyDescent="0.25">
      <c r="A58" s="1">
        <v>43</v>
      </c>
      <c r="B58" s="1" t="s">
        <v>240</v>
      </c>
      <c r="C58" s="1">
        <v>2</v>
      </c>
      <c r="D58" s="18">
        <f t="shared" si="1"/>
        <v>0.48780487804878048</v>
      </c>
      <c r="E58" s="1" t="s">
        <v>644</v>
      </c>
      <c r="F58" s="1" t="s">
        <v>1</v>
      </c>
      <c r="G58" s="1" t="s">
        <v>755</v>
      </c>
      <c r="H58" s="1" t="str">
        <f t="shared" si="2"/>
        <v>Not novel</v>
      </c>
      <c r="I58" s="1" t="s">
        <v>802</v>
      </c>
      <c r="J58" s="1" t="s">
        <v>695</v>
      </c>
      <c r="K58" s="1" t="str">
        <f t="shared" si="3"/>
        <v>White Swan</v>
      </c>
      <c r="L58" s="1" t="s">
        <v>345</v>
      </c>
      <c r="M58" s="1" t="s">
        <v>345</v>
      </c>
    </row>
    <row r="59" spans="1:13" x14ac:dyDescent="0.25">
      <c r="A59" s="1">
        <v>44</v>
      </c>
      <c r="B59" s="1" t="s">
        <v>259</v>
      </c>
      <c r="C59" s="1">
        <v>2</v>
      </c>
      <c r="D59" s="18">
        <f t="shared" si="1"/>
        <v>0.48780487804878048</v>
      </c>
      <c r="E59" s="1" t="s">
        <v>644</v>
      </c>
      <c r="F59" s="1" t="s">
        <v>1</v>
      </c>
      <c r="G59" s="1" t="s">
        <v>755</v>
      </c>
      <c r="H59" s="1" t="str">
        <f t="shared" si="2"/>
        <v>Not novel</v>
      </c>
      <c r="I59" s="1" t="s">
        <v>803</v>
      </c>
      <c r="J59" s="1" t="s">
        <v>695</v>
      </c>
      <c r="K59" s="1" t="str">
        <f t="shared" si="3"/>
        <v>White Swan</v>
      </c>
      <c r="L59" s="1" t="s">
        <v>345</v>
      </c>
      <c r="M59" s="1" t="s">
        <v>345</v>
      </c>
    </row>
    <row r="60" spans="1:13" x14ac:dyDescent="0.25">
      <c r="A60" s="1">
        <v>45</v>
      </c>
      <c r="B60" s="1" t="s">
        <v>253</v>
      </c>
      <c r="C60" s="1">
        <v>2</v>
      </c>
      <c r="D60" s="18">
        <f t="shared" si="1"/>
        <v>0.48780487804878048</v>
      </c>
      <c r="E60" s="1" t="s">
        <v>644</v>
      </c>
      <c r="F60" s="1" t="s">
        <v>1</v>
      </c>
      <c r="G60" s="1" t="s">
        <v>755</v>
      </c>
      <c r="H60" s="1" t="str">
        <f t="shared" si="2"/>
        <v>Not novel</v>
      </c>
      <c r="I60" s="1" t="s">
        <v>804</v>
      </c>
      <c r="J60" s="1" t="s">
        <v>695</v>
      </c>
      <c r="K60" s="1" t="str">
        <f t="shared" si="3"/>
        <v>White Swan</v>
      </c>
      <c r="L60" s="1" t="s">
        <v>345</v>
      </c>
      <c r="M60" s="1" t="s">
        <v>345</v>
      </c>
    </row>
    <row r="61" spans="1:13" x14ac:dyDescent="0.25">
      <c r="A61" s="1">
        <v>46</v>
      </c>
      <c r="B61" s="1" t="s">
        <v>246</v>
      </c>
      <c r="C61" s="1">
        <v>2</v>
      </c>
      <c r="D61" s="18">
        <f t="shared" si="1"/>
        <v>0.48780487804878048</v>
      </c>
      <c r="E61" s="1" t="s">
        <v>644</v>
      </c>
      <c r="F61" s="1" t="s">
        <v>1</v>
      </c>
      <c r="G61" s="1" t="s">
        <v>755</v>
      </c>
      <c r="H61" s="1" t="str">
        <f t="shared" si="2"/>
        <v>Not novel</v>
      </c>
      <c r="I61" s="1" t="s">
        <v>805</v>
      </c>
      <c r="J61" s="1" t="s">
        <v>694</v>
      </c>
      <c r="K61" s="1" t="str">
        <f t="shared" si="3"/>
        <v>White Swan</v>
      </c>
      <c r="L61" s="1" t="s">
        <v>345</v>
      </c>
      <c r="M61" s="1" t="s">
        <v>345</v>
      </c>
    </row>
    <row r="62" spans="1:13" x14ac:dyDescent="0.25">
      <c r="A62" s="1">
        <v>47</v>
      </c>
      <c r="B62" s="1" t="s">
        <v>9</v>
      </c>
      <c r="C62" s="1">
        <v>2</v>
      </c>
      <c r="D62" s="18">
        <f t="shared" si="1"/>
        <v>0.48780487804878048</v>
      </c>
      <c r="E62" s="1" t="s">
        <v>644</v>
      </c>
      <c r="F62" s="1" t="s">
        <v>1</v>
      </c>
      <c r="G62" s="1" t="s">
        <v>755</v>
      </c>
      <c r="H62" s="1" t="str">
        <f t="shared" si="2"/>
        <v>Not novel</v>
      </c>
      <c r="I62" s="1" t="s">
        <v>806</v>
      </c>
      <c r="J62" s="1" t="s">
        <v>694</v>
      </c>
      <c r="K62" s="1" t="str">
        <f t="shared" si="3"/>
        <v>White Swan</v>
      </c>
      <c r="L62" s="1" t="s">
        <v>345</v>
      </c>
      <c r="M62" s="1" t="s">
        <v>345</v>
      </c>
    </row>
    <row r="63" spans="1:13" x14ac:dyDescent="0.25">
      <c r="A63" s="1">
        <v>48</v>
      </c>
      <c r="B63" s="1" t="s">
        <v>245</v>
      </c>
      <c r="C63" s="1">
        <v>2</v>
      </c>
      <c r="D63" s="18">
        <f t="shared" si="1"/>
        <v>0.48780487804878048</v>
      </c>
      <c r="E63" s="1" t="s">
        <v>644</v>
      </c>
      <c r="F63" s="1" t="s">
        <v>1</v>
      </c>
      <c r="G63" s="1" t="s">
        <v>755</v>
      </c>
      <c r="H63" s="1" t="str">
        <f t="shared" si="2"/>
        <v>Not novel</v>
      </c>
      <c r="I63" s="1" t="s">
        <v>807</v>
      </c>
      <c r="J63" s="1" t="s">
        <v>694</v>
      </c>
      <c r="K63" s="1" t="str">
        <f t="shared" si="3"/>
        <v>White Swan</v>
      </c>
      <c r="L63" s="1" t="s">
        <v>345</v>
      </c>
      <c r="M63" s="1" t="s">
        <v>345</v>
      </c>
    </row>
    <row r="64" spans="1:13" x14ac:dyDescent="0.25">
      <c r="A64" s="1">
        <v>49</v>
      </c>
      <c r="B64" s="1" t="s">
        <v>242</v>
      </c>
      <c r="C64" s="1">
        <v>2</v>
      </c>
      <c r="D64" s="18">
        <f t="shared" si="1"/>
        <v>0.48780487804878048</v>
      </c>
      <c r="E64" s="1" t="s">
        <v>645</v>
      </c>
      <c r="F64" s="1" t="s">
        <v>1</v>
      </c>
      <c r="G64" s="1" t="s">
        <v>755</v>
      </c>
      <c r="H64" s="1" t="str">
        <f t="shared" si="2"/>
        <v>Not novel</v>
      </c>
      <c r="I64" s="1" t="s">
        <v>808</v>
      </c>
      <c r="J64" s="1" t="s">
        <v>695</v>
      </c>
      <c r="K64" s="1" t="str">
        <f t="shared" si="3"/>
        <v>White Swan</v>
      </c>
      <c r="L64" s="1" t="s">
        <v>345</v>
      </c>
      <c r="M64" s="1" t="s">
        <v>345</v>
      </c>
    </row>
    <row r="65" spans="1:13" x14ac:dyDescent="0.25">
      <c r="A65" s="1">
        <v>50</v>
      </c>
      <c r="B65" s="1" t="s">
        <v>18</v>
      </c>
      <c r="C65" s="1">
        <v>2</v>
      </c>
      <c r="D65" s="18">
        <f t="shared" si="1"/>
        <v>0.48780487804878048</v>
      </c>
      <c r="E65" s="1" t="s">
        <v>644</v>
      </c>
      <c r="F65" s="1" t="s">
        <v>1</v>
      </c>
      <c r="G65" s="1" t="s">
        <v>755</v>
      </c>
      <c r="H65" s="1" t="str">
        <f t="shared" si="2"/>
        <v>Not novel</v>
      </c>
      <c r="I65" s="1" t="s">
        <v>809</v>
      </c>
      <c r="J65" s="1" t="s">
        <v>695</v>
      </c>
      <c r="K65" s="1" t="str">
        <f t="shared" si="3"/>
        <v>White Swan</v>
      </c>
      <c r="L65" s="1" t="s">
        <v>345</v>
      </c>
      <c r="M65" s="1" t="s">
        <v>345</v>
      </c>
    </row>
    <row r="66" spans="1:13" x14ac:dyDescent="0.25">
      <c r="A66" s="1">
        <v>51</v>
      </c>
      <c r="B66" s="1" t="s">
        <v>257</v>
      </c>
      <c r="C66" s="1">
        <v>2</v>
      </c>
      <c r="D66" s="18">
        <f t="shared" si="1"/>
        <v>0.48780487804878048</v>
      </c>
      <c r="E66" s="1" t="s">
        <v>645</v>
      </c>
      <c r="F66" s="1" t="s">
        <v>166</v>
      </c>
      <c r="G66" s="1" t="s">
        <v>757</v>
      </c>
      <c r="H66" s="1" t="str">
        <f t="shared" si="2"/>
        <v>Novel</v>
      </c>
      <c r="I66" s="1" t="s">
        <v>810</v>
      </c>
      <c r="J66" s="1" t="s">
        <v>694</v>
      </c>
      <c r="K66" s="1" t="str">
        <f t="shared" si="3"/>
        <v>Black Swan</v>
      </c>
      <c r="L66" s="1" t="s">
        <v>345</v>
      </c>
      <c r="M66" s="1" t="s">
        <v>345</v>
      </c>
    </row>
    <row r="67" spans="1:13" x14ac:dyDescent="0.25">
      <c r="A67" s="1">
        <v>52</v>
      </c>
      <c r="B67" s="13" t="s">
        <v>272</v>
      </c>
      <c r="C67" s="13">
        <v>1</v>
      </c>
      <c r="D67" s="18">
        <f t="shared" si="1"/>
        <v>0.24390243902439024</v>
      </c>
      <c r="E67" s="1" t="s">
        <v>644</v>
      </c>
      <c r="F67" s="13" t="s">
        <v>1</v>
      </c>
      <c r="G67" s="1" t="s">
        <v>755</v>
      </c>
      <c r="H67" s="1" t="str">
        <f t="shared" si="2"/>
        <v>Not novel</v>
      </c>
      <c r="I67" s="13" t="s">
        <v>811</v>
      </c>
      <c r="J67" s="1" t="s">
        <v>695</v>
      </c>
      <c r="K67" s="1" t="str">
        <f t="shared" si="3"/>
        <v>White Swan</v>
      </c>
      <c r="L67" s="1" t="s">
        <v>345</v>
      </c>
      <c r="M67" s="1" t="s">
        <v>345</v>
      </c>
    </row>
    <row r="68" spans="1:13" x14ac:dyDescent="0.25">
      <c r="A68" s="1">
        <v>53</v>
      </c>
      <c r="B68" s="1" t="s">
        <v>263</v>
      </c>
      <c r="C68" s="1">
        <v>1</v>
      </c>
      <c r="D68" s="18">
        <f t="shared" si="1"/>
        <v>0.24390243902439024</v>
      </c>
      <c r="E68" s="1" t="s">
        <v>644</v>
      </c>
      <c r="F68" s="1" t="s">
        <v>1</v>
      </c>
      <c r="G68" s="1" t="s">
        <v>755</v>
      </c>
      <c r="H68" s="1" t="str">
        <f t="shared" si="2"/>
        <v>Not novel</v>
      </c>
      <c r="I68" s="1" t="s">
        <v>812</v>
      </c>
      <c r="J68" s="1" t="s">
        <v>695</v>
      </c>
      <c r="K68" s="1" t="str">
        <f t="shared" si="3"/>
        <v>White Swan</v>
      </c>
      <c r="L68" s="1" t="s">
        <v>345</v>
      </c>
      <c r="M68" s="1" t="s">
        <v>345</v>
      </c>
    </row>
    <row r="69" spans="1:13" x14ac:dyDescent="0.25">
      <c r="A69" s="1">
        <v>54</v>
      </c>
      <c r="B69" s="13" t="s">
        <v>302</v>
      </c>
      <c r="C69" s="13">
        <v>1</v>
      </c>
      <c r="D69" s="18">
        <f t="shared" si="1"/>
        <v>0.24390243902439024</v>
      </c>
      <c r="E69" s="1" t="s">
        <v>645</v>
      </c>
      <c r="F69" s="12" t="s">
        <v>337</v>
      </c>
      <c r="G69" s="1" t="s">
        <v>757</v>
      </c>
      <c r="H69" s="1" t="str">
        <f t="shared" si="2"/>
        <v>Novel</v>
      </c>
      <c r="I69" s="1" t="s">
        <v>813</v>
      </c>
      <c r="J69" s="13" t="s">
        <v>694</v>
      </c>
      <c r="K69" s="1" t="str">
        <f t="shared" si="3"/>
        <v>Black Swan</v>
      </c>
      <c r="L69" s="1" t="s">
        <v>345</v>
      </c>
      <c r="M69" s="1" t="s">
        <v>345</v>
      </c>
    </row>
    <row r="70" spans="1:13" x14ac:dyDescent="0.25">
      <c r="A70" s="1">
        <v>55</v>
      </c>
      <c r="B70" s="1" t="s">
        <v>320</v>
      </c>
      <c r="C70" s="1">
        <v>1</v>
      </c>
      <c r="D70" s="18">
        <f t="shared" si="1"/>
        <v>0.24390243902439024</v>
      </c>
      <c r="E70" s="1" t="s">
        <v>645</v>
      </c>
      <c r="F70" s="1" t="s">
        <v>337</v>
      </c>
      <c r="G70" s="1" t="s">
        <v>760</v>
      </c>
      <c r="H70" s="1" t="str">
        <f t="shared" si="2"/>
        <v>Novel</v>
      </c>
      <c r="I70" s="1" t="s">
        <v>814</v>
      </c>
      <c r="J70" s="1" t="s">
        <v>694</v>
      </c>
      <c r="K70" s="1" t="str">
        <f t="shared" si="3"/>
        <v>Black Swan</v>
      </c>
      <c r="L70" s="1" t="s">
        <v>345</v>
      </c>
      <c r="M70" s="1" t="s">
        <v>345</v>
      </c>
    </row>
    <row r="71" spans="1:13" x14ac:dyDescent="0.25">
      <c r="A71" s="1">
        <v>56</v>
      </c>
      <c r="B71" s="1" t="s">
        <v>13</v>
      </c>
      <c r="C71" s="1">
        <v>1</v>
      </c>
      <c r="D71" s="18">
        <f t="shared" si="1"/>
        <v>0.24390243902439024</v>
      </c>
      <c r="E71" s="1" t="s">
        <v>644</v>
      </c>
      <c r="F71" s="1" t="s">
        <v>53</v>
      </c>
      <c r="G71" s="1" t="s">
        <v>755</v>
      </c>
      <c r="H71" s="1" t="str">
        <f t="shared" si="2"/>
        <v>Not novel</v>
      </c>
      <c r="I71" s="1" t="s">
        <v>815</v>
      </c>
      <c r="J71" s="1" t="s">
        <v>694</v>
      </c>
      <c r="K71" s="1" t="str">
        <f t="shared" si="3"/>
        <v>White Swan</v>
      </c>
      <c r="L71" s="1" t="s">
        <v>345</v>
      </c>
      <c r="M71" s="1" t="s">
        <v>345</v>
      </c>
    </row>
    <row r="72" spans="1:13" x14ac:dyDescent="0.25">
      <c r="A72" s="1">
        <v>57</v>
      </c>
      <c r="B72" s="1" t="s">
        <v>290</v>
      </c>
      <c r="C72" s="1">
        <v>1</v>
      </c>
      <c r="D72" s="18">
        <f t="shared" si="1"/>
        <v>0.24390243902439024</v>
      </c>
      <c r="E72" s="1" t="s">
        <v>645</v>
      </c>
      <c r="F72" s="1" t="s">
        <v>337</v>
      </c>
      <c r="G72" s="1" t="s">
        <v>760</v>
      </c>
      <c r="H72" s="1" t="str">
        <f t="shared" si="2"/>
        <v>Novel</v>
      </c>
      <c r="I72" s="1" t="s">
        <v>816</v>
      </c>
      <c r="J72" s="1" t="s">
        <v>694</v>
      </c>
      <c r="K72" s="1" t="str">
        <f t="shared" si="3"/>
        <v>Black Swan</v>
      </c>
      <c r="L72" s="1" t="s">
        <v>345</v>
      </c>
      <c r="M72" s="1" t="s">
        <v>345</v>
      </c>
    </row>
    <row r="73" spans="1:13" x14ac:dyDescent="0.25">
      <c r="A73" s="1">
        <v>58</v>
      </c>
      <c r="B73" s="13" t="s">
        <v>5</v>
      </c>
      <c r="C73" s="13">
        <v>1</v>
      </c>
      <c r="D73" s="18">
        <f t="shared" si="1"/>
        <v>0.24390243902439024</v>
      </c>
      <c r="E73" s="1" t="s">
        <v>645</v>
      </c>
      <c r="F73" s="13" t="s">
        <v>1</v>
      </c>
      <c r="G73" s="1" t="s">
        <v>755</v>
      </c>
      <c r="H73" s="1" t="str">
        <f t="shared" si="2"/>
        <v>Not novel</v>
      </c>
      <c r="I73" s="13" t="s">
        <v>817</v>
      </c>
      <c r="J73" s="1" t="s">
        <v>694</v>
      </c>
      <c r="K73" s="1" t="str">
        <f t="shared" si="3"/>
        <v>White Swan</v>
      </c>
      <c r="L73" s="1" t="s">
        <v>345</v>
      </c>
      <c r="M73" s="1" t="s">
        <v>345</v>
      </c>
    </row>
    <row r="74" spans="1:13" x14ac:dyDescent="0.25">
      <c r="A74" s="1">
        <v>59</v>
      </c>
      <c r="B74" s="13" t="s">
        <v>11</v>
      </c>
      <c r="C74" s="13">
        <v>1</v>
      </c>
      <c r="D74" s="18">
        <f t="shared" si="1"/>
        <v>0.24390243902439024</v>
      </c>
      <c r="E74" s="1" t="s">
        <v>644</v>
      </c>
      <c r="F74" s="13" t="s">
        <v>1</v>
      </c>
      <c r="G74" s="1" t="s">
        <v>755</v>
      </c>
      <c r="H74" s="1" t="str">
        <f t="shared" si="2"/>
        <v>Not novel</v>
      </c>
      <c r="I74" s="13" t="s">
        <v>818</v>
      </c>
      <c r="J74" s="1" t="s">
        <v>695</v>
      </c>
      <c r="K74" s="1" t="str">
        <f t="shared" si="3"/>
        <v>White Swan</v>
      </c>
      <c r="L74" s="1" t="s">
        <v>345</v>
      </c>
      <c r="M74" s="1" t="s">
        <v>345</v>
      </c>
    </row>
    <row r="75" spans="1:13" x14ac:dyDescent="0.25">
      <c r="A75" s="1">
        <v>60</v>
      </c>
      <c r="B75" s="13" t="s">
        <v>274</v>
      </c>
      <c r="C75" s="13">
        <v>1</v>
      </c>
      <c r="D75" s="18">
        <f t="shared" si="1"/>
        <v>0.24390243902439024</v>
      </c>
      <c r="E75" s="1" t="s">
        <v>645</v>
      </c>
      <c r="F75" s="13" t="s">
        <v>166</v>
      </c>
      <c r="G75" s="1" t="s">
        <v>760</v>
      </c>
      <c r="H75" s="1" t="str">
        <f t="shared" si="2"/>
        <v>Novel</v>
      </c>
      <c r="I75" s="13" t="s">
        <v>819</v>
      </c>
      <c r="J75" s="13" t="s">
        <v>695</v>
      </c>
      <c r="K75" s="1" t="str">
        <f t="shared" si="3"/>
        <v>White Swan</v>
      </c>
      <c r="L75" s="1" t="s">
        <v>345</v>
      </c>
      <c r="M75" s="1" t="s">
        <v>345</v>
      </c>
    </row>
    <row r="76" spans="1:13" x14ac:dyDescent="0.25">
      <c r="A76" s="1">
        <v>61</v>
      </c>
      <c r="B76" s="1" t="s">
        <v>282</v>
      </c>
      <c r="C76" s="1">
        <v>1</v>
      </c>
      <c r="D76" s="18">
        <f t="shared" si="1"/>
        <v>0.24390243902439024</v>
      </c>
      <c r="E76" s="1" t="s">
        <v>645</v>
      </c>
      <c r="F76" s="1" t="s">
        <v>53</v>
      </c>
      <c r="G76" s="1" t="s">
        <v>755</v>
      </c>
      <c r="H76" s="1" t="str">
        <f t="shared" si="2"/>
        <v>Not novel</v>
      </c>
      <c r="I76" s="1" t="s">
        <v>820</v>
      </c>
      <c r="J76" s="13" t="s">
        <v>694</v>
      </c>
      <c r="K76" s="1" t="str">
        <f t="shared" si="3"/>
        <v>White Swan</v>
      </c>
      <c r="L76" s="1" t="s">
        <v>345</v>
      </c>
      <c r="M76" s="1" t="s">
        <v>345</v>
      </c>
    </row>
    <row r="77" spans="1:13" x14ac:dyDescent="0.25">
      <c r="A77" s="1">
        <v>62</v>
      </c>
      <c r="B77" s="13" t="s">
        <v>285</v>
      </c>
      <c r="C77" s="13">
        <v>1</v>
      </c>
      <c r="D77" s="18">
        <f t="shared" si="1"/>
        <v>0.24390243902439024</v>
      </c>
      <c r="E77" s="1" t="s">
        <v>645</v>
      </c>
      <c r="F77" s="13" t="s">
        <v>1</v>
      </c>
      <c r="G77" s="1" t="s">
        <v>755</v>
      </c>
      <c r="H77" s="1" t="str">
        <f t="shared" si="2"/>
        <v>Not novel</v>
      </c>
      <c r="I77" s="13" t="s">
        <v>821</v>
      </c>
      <c r="J77" s="13" t="s">
        <v>694</v>
      </c>
      <c r="K77" s="1" t="str">
        <f t="shared" si="3"/>
        <v>White Swan</v>
      </c>
      <c r="L77" s="1" t="s">
        <v>345</v>
      </c>
      <c r="M77" s="1" t="s">
        <v>345</v>
      </c>
    </row>
    <row r="78" spans="1:13" x14ac:dyDescent="0.25">
      <c r="A78" s="1">
        <v>63</v>
      </c>
      <c r="B78" s="13" t="s">
        <v>294</v>
      </c>
      <c r="C78" s="13">
        <v>1</v>
      </c>
      <c r="D78" s="18">
        <f t="shared" si="1"/>
        <v>0.24390243902439024</v>
      </c>
      <c r="E78" s="1" t="s">
        <v>645</v>
      </c>
      <c r="F78" s="13" t="s">
        <v>1</v>
      </c>
      <c r="G78" s="1" t="s">
        <v>755</v>
      </c>
      <c r="H78" s="1" t="str">
        <f t="shared" si="2"/>
        <v>Not novel</v>
      </c>
      <c r="I78" s="13" t="s">
        <v>822</v>
      </c>
      <c r="J78" s="1" t="s">
        <v>694</v>
      </c>
      <c r="K78" s="1" t="str">
        <f t="shared" si="3"/>
        <v>White Swan</v>
      </c>
      <c r="L78" s="1" t="s">
        <v>345</v>
      </c>
      <c r="M78" s="1" t="s">
        <v>345</v>
      </c>
    </row>
    <row r="79" spans="1:13" x14ac:dyDescent="0.25">
      <c r="A79" s="1">
        <v>64</v>
      </c>
      <c r="B79" s="13" t="s">
        <v>311</v>
      </c>
      <c r="C79" s="13">
        <v>1</v>
      </c>
      <c r="D79" s="18">
        <f t="shared" si="1"/>
        <v>0.24390243902439024</v>
      </c>
      <c r="E79" s="1" t="s">
        <v>645</v>
      </c>
      <c r="F79" s="12" t="s">
        <v>337</v>
      </c>
      <c r="G79" s="1" t="s">
        <v>760</v>
      </c>
      <c r="H79" s="1" t="str">
        <f t="shared" si="2"/>
        <v>Novel</v>
      </c>
      <c r="I79" s="1" t="s">
        <v>823</v>
      </c>
      <c r="J79" s="13" t="s">
        <v>694</v>
      </c>
      <c r="K79" s="1" t="str">
        <f t="shared" si="3"/>
        <v>Black Swan</v>
      </c>
      <c r="L79" s="1" t="s">
        <v>345</v>
      </c>
      <c r="M79" s="1" t="s">
        <v>345</v>
      </c>
    </row>
    <row r="80" spans="1:13" x14ac:dyDescent="0.25">
      <c r="A80" s="1">
        <v>65</v>
      </c>
      <c r="B80" s="13" t="s">
        <v>304</v>
      </c>
      <c r="C80" s="13">
        <v>1</v>
      </c>
      <c r="D80" s="18">
        <f t="shared" si="1"/>
        <v>0.24390243902439024</v>
      </c>
      <c r="E80" s="1" t="s">
        <v>645</v>
      </c>
      <c r="F80" s="12" t="s">
        <v>337</v>
      </c>
      <c r="G80" s="1" t="s">
        <v>760</v>
      </c>
      <c r="H80" s="1" t="str">
        <f t="shared" si="2"/>
        <v>Novel</v>
      </c>
      <c r="I80" s="1" t="s">
        <v>824</v>
      </c>
      <c r="J80" s="13" t="s">
        <v>694</v>
      </c>
      <c r="K80" s="1" t="str">
        <f t="shared" ref="K80:K111" si="4">IF(AND(H80="Novel",J80="impactful"),"Black Swan","White Swan")</f>
        <v>Black Swan</v>
      </c>
      <c r="L80" s="1" t="s">
        <v>345</v>
      </c>
      <c r="M80" s="1" t="s">
        <v>345</v>
      </c>
    </row>
    <row r="81" spans="1:13" x14ac:dyDescent="0.25">
      <c r="A81" s="1">
        <v>66</v>
      </c>
      <c r="B81" s="1" t="s">
        <v>299</v>
      </c>
      <c r="C81" s="1">
        <v>1</v>
      </c>
      <c r="D81" s="18">
        <f t="shared" ref="D81:D144" si="5">(C81/SUM(C$16:C$148))*100</f>
        <v>0.24390243902439024</v>
      </c>
      <c r="E81" s="1" t="s">
        <v>645</v>
      </c>
      <c r="F81" s="1" t="s">
        <v>337</v>
      </c>
      <c r="G81" s="1" t="s">
        <v>760</v>
      </c>
      <c r="H81" s="1" t="str">
        <f t="shared" ref="H81:H144" si="6">IF(AND(E81="original",F81="atypical"),"Novel","Not novel")</f>
        <v>Novel</v>
      </c>
      <c r="I81" s="1" t="s">
        <v>825</v>
      </c>
      <c r="J81" s="1" t="s">
        <v>694</v>
      </c>
      <c r="K81" s="1" t="str">
        <f t="shared" si="4"/>
        <v>Black Swan</v>
      </c>
      <c r="L81" s="1" t="s">
        <v>345</v>
      </c>
      <c r="M81" s="1" t="s">
        <v>345</v>
      </c>
    </row>
    <row r="82" spans="1:13" x14ac:dyDescent="0.25">
      <c r="A82" s="1">
        <v>67</v>
      </c>
      <c r="B82" s="13" t="s">
        <v>293</v>
      </c>
      <c r="C82" s="13">
        <v>1</v>
      </c>
      <c r="D82" s="18">
        <f t="shared" si="5"/>
        <v>0.24390243902439024</v>
      </c>
      <c r="E82" s="1" t="s">
        <v>645</v>
      </c>
      <c r="F82" s="13" t="s">
        <v>1</v>
      </c>
      <c r="G82" s="1" t="s">
        <v>755</v>
      </c>
      <c r="H82" s="1" t="str">
        <f t="shared" si="6"/>
        <v>Not novel</v>
      </c>
      <c r="I82" s="13" t="s">
        <v>826</v>
      </c>
      <c r="J82" s="1" t="s">
        <v>694</v>
      </c>
      <c r="K82" s="1" t="str">
        <f t="shared" si="4"/>
        <v>White Swan</v>
      </c>
      <c r="L82" s="1" t="s">
        <v>345</v>
      </c>
      <c r="M82" s="1" t="s">
        <v>345</v>
      </c>
    </row>
    <row r="83" spans="1:13" x14ac:dyDescent="0.25">
      <c r="A83" s="1">
        <v>68</v>
      </c>
      <c r="B83" s="1" t="s">
        <v>295</v>
      </c>
      <c r="C83" s="1">
        <v>1</v>
      </c>
      <c r="D83" s="18">
        <f t="shared" si="5"/>
        <v>0.24390243902439024</v>
      </c>
      <c r="E83" s="1" t="s">
        <v>645</v>
      </c>
      <c r="F83" s="1" t="s">
        <v>337</v>
      </c>
      <c r="G83" s="1" t="s">
        <v>760</v>
      </c>
      <c r="H83" s="1" t="str">
        <f t="shared" si="6"/>
        <v>Novel</v>
      </c>
      <c r="I83" s="1" t="s">
        <v>827</v>
      </c>
      <c r="J83" s="1" t="s">
        <v>694</v>
      </c>
      <c r="K83" s="1" t="str">
        <f t="shared" si="4"/>
        <v>Black Swan</v>
      </c>
      <c r="L83" s="1" t="s">
        <v>345</v>
      </c>
      <c r="M83" s="1" t="s">
        <v>345</v>
      </c>
    </row>
    <row r="84" spans="1:13" x14ac:dyDescent="0.25">
      <c r="A84" s="1">
        <v>69</v>
      </c>
      <c r="B84" s="13" t="s">
        <v>273</v>
      </c>
      <c r="C84" s="13">
        <v>1</v>
      </c>
      <c r="D84" s="18">
        <f t="shared" si="5"/>
        <v>0.24390243902439024</v>
      </c>
      <c r="E84" s="1" t="s">
        <v>645</v>
      </c>
      <c r="F84" s="13" t="s">
        <v>1</v>
      </c>
      <c r="G84" s="1" t="s">
        <v>755</v>
      </c>
      <c r="H84" s="1" t="str">
        <f t="shared" si="6"/>
        <v>Not novel</v>
      </c>
      <c r="I84" s="13" t="s">
        <v>828</v>
      </c>
      <c r="J84" s="13" t="s">
        <v>695</v>
      </c>
      <c r="K84" s="1" t="str">
        <f t="shared" si="4"/>
        <v>White Swan</v>
      </c>
      <c r="L84" s="1" t="s">
        <v>345</v>
      </c>
      <c r="M84" s="1" t="s">
        <v>345</v>
      </c>
    </row>
    <row r="85" spans="1:13" x14ac:dyDescent="0.25">
      <c r="A85" s="1">
        <v>70</v>
      </c>
      <c r="B85" s="13" t="s">
        <v>270</v>
      </c>
      <c r="C85" s="13">
        <v>1</v>
      </c>
      <c r="D85" s="18">
        <f t="shared" si="5"/>
        <v>0.24390243902439024</v>
      </c>
      <c r="E85" s="1" t="s">
        <v>645</v>
      </c>
      <c r="F85" s="13" t="s">
        <v>1</v>
      </c>
      <c r="G85" s="1" t="s">
        <v>755</v>
      </c>
      <c r="H85" s="1" t="str">
        <f t="shared" si="6"/>
        <v>Not novel</v>
      </c>
      <c r="I85" s="13" t="s">
        <v>829</v>
      </c>
      <c r="J85" s="1" t="s">
        <v>695</v>
      </c>
      <c r="K85" s="1" t="str">
        <f t="shared" si="4"/>
        <v>White Swan</v>
      </c>
      <c r="L85" s="1" t="s">
        <v>345</v>
      </c>
      <c r="M85" s="1" t="s">
        <v>345</v>
      </c>
    </row>
    <row r="86" spans="1:13" x14ac:dyDescent="0.25">
      <c r="A86" s="1">
        <v>71</v>
      </c>
      <c r="B86" s="1" t="s">
        <v>291</v>
      </c>
      <c r="C86" s="1">
        <v>1</v>
      </c>
      <c r="D86" s="18">
        <f t="shared" si="5"/>
        <v>0.24390243902439024</v>
      </c>
      <c r="E86" s="1" t="s">
        <v>645</v>
      </c>
      <c r="F86" s="1" t="s">
        <v>53</v>
      </c>
      <c r="G86" s="1" t="s">
        <v>755</v>
      </c>
      <c r="H86" s="1" t="str">
        <f t="shared" si="6"/>
        <v>Not novel</v>
      </c>
      <c r="I86" s="1" t="s">
        <v>830</v>
      </c>
      <c r="J86" s="13" t="s">
        <v>694</v>
      </c>
      <c r="K86" s="1" t="str">
        <f t="shared" si="4"/>
        <v>White Swan</v>
      </c>
      <c r="L86" s="1" t="s">
        <v>345</v>
      </c>
      <c r="M86" s="1" t="s">
        <v>345</v>
      </c>
    </row>
    <row r="87" spans="1:13" x14ac:dyDescent="0.25">
      <c r="A87" s="1">
        <v>72</v>
      </c>
      <c r="B87" s="13" t="s">
        <v>277</v>
      </c>
      <c r="C87" s="13">
        <v>1</v>
      </c>
      <c r="D87" s="18">
        <f t="shared" si="5"/>
        <v>0.24390243902439024</v>
      </c>
      <c r="E87" s="1" t="s">
        <v>645</v>
      </c>
      <c r="F87" s="13" t="s">
        <v>1</v>
      </c>
      <c r="G87" s="1" t="s">
        <v>755</v>
      </c>
      <c r="H87" s="1" t="str">
        <f t="shared" si="6"/>
        <v>Not novel</v>
      </c>
      <c r="I87" s="13" t="s">
        <v>831</v>
      </c>
      <c r="J87" s="13" t="s">
        <v>695</v>
      </c>
      <c r="K87" s="1" t="str">
        <f t="shared" si="4"/>
        <v>White Swan</v>
      </c>
      <c r="L87" s="1" t="s">
        <v>345</v>
      </c>
      <c r="M87" s="1" t="s">
        <v>345</v>
      </c>
    </row>
    <row r="88" spans="1:13" x14ac:dyDescent="0.25">
      <c r="A88" s="1">
        <v>73</v>
      </c>
      <c r="B88" s="13" t="s">
        <v>314</v>
      </c>
      <c r="C88" s="13">
        <v>1</v>
      </c>
      <c r="D88" s="18">
        <f t="shared" si="5"/>
        <v>0.24390243902439024</v>
      </c>
      <c r="E88" s="1" t="s">
        <v>645</v>
      </c>
      <c r="F88" s="13" t="s">
        <v>1</v>
      </c>
      <c r="G88" s="1" t="s">
        <v>755</v>
      </c>
      <c r="H88" s="1" t="str">
        <f t="shared" si="6"/>
        <v>Not novel</v>
      </c>
      <c r="I88" s="13" t="s">
        <v>832</v>
      </c>
      <c r="J88" s="1" t="s">
        <v>694</v>
      </c>
      <c r="K88" s="1" t="str">
        <f t="shared" si="4"/>
        <v>White Swan</v>
      </c>
      <c r="L88" s="1" t="s">
        <v>345</v>
      </c>
      <c r="M88" s="1" t="s">
        <v>345</v>
      </c>
    </row>
    <row r="89" spans="1:13" x14ac:dyDescent="0.25">
      <c r="A89" s="1">
        <v>74</v>
      </c>
      <c r="B89" s="13" t="s">
        <v>315</v>
      </c>
      <c r="C89" s="13">
        <v>1</v>
      </c>
      <c r="D89" s="18">
        <f t="shared" si="5"/>
        <v>0.24390243902439024</v>
      </c>
      <c r="E89" s="1" t="s">
        <v>645</v>
      </c>
      <c r="F89" s="13" t="s">
        <v>1</v>
      </c>
      <c r="G89" s="1" t="s">
        <v>755</v>
      </c>
      <c r="H89" s="1" t="str">
        <f t="shared" si="6"/>
        <v>Not novel</v>
      </c>
      <c r="I89" s="13" t="s">
        <v>833</v>
      </c>
      <c r="J89" s="13" t="s">
        <v>694</v>
      </c>
      <c r="K89" s="1" t="str">
        <f t="shared" si="4"/>
        <v>White Swan</v>
      </c>
      <c r="L89" s="1" t="s">
        <v>345</v>
      </c>
      <c r="M89" s="1" t="s">
        <v>345</v>
      </c>
    </row>
    <row r="90" spans="1:13" x14ac:dyDescent="0.25">
      <c r="A90" s="1">
        <v>75</v>
      </c>
      <c r="B90" s="13" t="s">
        <v>271</v>
      </c>
      <c r="C90" s="13">
        <v>1</v>
      </c>
      <c r="D90" s="18">
        <f t="shared" si="5"/>
        <v>0.24390243902439024</v>
      </c>
      <c r="E90" s="1" t="s">
        <v>645</v>
      </c>
      <c r="F90" s="13" t="s">
        <v>1</v>
      </c>
      <c r="G90" s="1" t="s">
        <v>755</v>
      </c>
      <c r="H90" s="1" t="str">
        <f t="shared" si="6"/>
        <v>Not novel</v>
      </c>
      <c r="I90" s="13" t="s">
        <v>834</v>
      </c>
      <c r="J90" s="13" t="s">
        <v>695</v>
      </c>
      <c r="K90" s="1" t="str">
        <f t="shared" si="4"/>
        <v>White Swan</v>
      </c>
      <c r="L90" s="1" t="s">
        <v>345</v>
      </c>
      <c r="M90" s="1" t="s">
        <v>345</v>
      </c>
    </row>
    <row r="91" spans="1:13" x14ac:dyDescent="0.25">
      <c r="A91" s="1">
        <v>76</v>
      </c>
      <c r="B91" s="1" t="s">
        <v>319</v>
      </c>
      <c r="C91" s="1">
        <v>1</v>
      </c>
      <c r="D91" s="18">
        <f t="shared" si="5"/>
        <v>0.24390243902439024</v>
      </c>
      <c r="E91" s="1" t="s">
        <v>645</v>
      </c>
      <c r="F91" s="1" t="s">
        <v>337</v>
      </c>
      <c r="G91" s="1" t="s">
        <v>760</v>
      </c>
      <c r="H91" s="1" t="str">
        <f t="shared" si="6"/>
        <v>Novel</v>
      </c>
      <c r="I91" s="1" t="s">
        <v>835</v>
      </c>
      <c r="J91" s="13" t="s">
        <v>694</v>
      </c>
      <c r="K91" s="1" t="str">
        <f t="shared" si="4"/>
        <v>Black Swan</v>
      </c>
      <c r="L91" s="1" t="s">
        <v>345</v>
      </c>
      <c r="M91" s="1" t="s">
        <v>345</v>
      </c>
    </row>
    <row r="92" spans="1:13" x14ac:dyDescent="0.25">
      <c r="A92" s="1">
        <v>77</v>
      </c>
      <c r="B92" s="1" t="s">
        <v>323</v>
      </c>
      <c r="C92" s="1">
        <v>1</v>
      </c>
      <c r="D92" s="18">
        <f t="shared" si="5"/>
        <v>0.24390243902439024</v>
      </c>
      <c r="E92" s="1" t="s">
        <v>645</v>
      </c>
      <c r="F92" s="1" t="s">
        <v>337</v>
      </c>
      <c r="G92" s="1" t="s">
        <v>760</v>
      </c>
      <c r="H92" s="1" t="str">
        <f t="shared" si="6"/>
        <v>Novel</v>
      </c>
      <c r="I92" s="1" t="s">
        <v>836</v>
      </c>
      <c r="J92" s="13" t="s">
        <v>694</v>
      </c>
      <c r="K92" s="1" t="str">
        <f t="shared" si="4"/>
        <v>Black Swan</v>
      </c>
      <c r="L92" s="1" t="s">
        <v>345</v>
      </c>
      <c r="M92" s="1" t="s">
        <v>345</v>
      </c>
    </row>
    <row r="93" spans="1:13" x14ac:dyDescent="0.25">
      <c r="A93" s="1">
        <v>78</v>
      </c>
      <c r="B93" s="1" t="s">
        <v>288</v>
      </c>
      <c r="C93" s="1">
        <v>1</v>
      </c>
      <c r="D93" s="18">
        <f t="shared" si="5"/>
        <v>0.24390243902439024</v>
      </c>
      <c r="E93" s="1" t="s">
        <v>645</v>
      </c>
      <c r="F93" s="1" t="s">
        <v>53</v>
      </c>
      <c r="G93" s="1" t="s">
        <v>755</v>
      </c>
      <c r="H93" s="1" t="str">
        <f t="shared" si="6"/>
        <v>Not novel</v>
      </c>
      <c r="I93" s="1" t="s">
        <v>837</v>
      </c>
      <c r="J93" s="1" t="s">
        <v>694</v>
      </c>
      <c r="K93" s="1" t="str">
        <f t="shared" si="4"/>
        <v>White Swan</v>
      </c>
      <c r="L93" s="1" t="s">
        <v>345</v>
      </c>
      <c r="M93" s="1" t="s">
        <v>345</v>
      </c>
    </row>
    <row r="94" spans="1:13" x14ac:dyDescent="0.25">
      <c r="A94" s="1">
        <v>79</v>
      </c>
      <c r="B94" s="13" t="s">
        <v>276</v>
      </c>
      <c r="C94" s="13">
        <v>1</v>
      </c>
      <c r="D94" s="18">
        <f t="shared" si="5"/>
        <v>0.24390243902439024</v>
      </c>
      <c r="E94" s="1" t="s">
        <v>644</v>
      </c>
      <c r="F94" s="13" t="s">
        <v>1</v>
      </c>
      <c r="G94" s="1" t="s">
        <v>755</v>
      </c>
      <c r="H94" s="1" t="str">
        <f t="shared" si="6"/>
        <v>Not novel</v>
      </c>
      <c r="I94" s="13" t="s">
        <v>838</v>
      </c>
      <c r="J94" s="1" t="s">
        <v>694</v>
      </c>
      <c r="K94" s="1" t="str">
        <f t="shared" si="4"/>
        <v>White Swan</v>
      </c>
      <c r="L94" s="1" t="s">
        <v>345</v>
      </c>
      <c r="M94" s="1" t="s">
        <v>345</v>
      </c>
    </row>
    <row r="95" spans="1:13" x14ac:dyDescent="0.25">
      <c r="A95" s="1">
        <v>80</v>
      </c>
      <c r="B95" s="13" t="s">
        <v>306</v>
      </c>
      <c r="C95" s="13">
        <v>1</v>
      </c>
      <c r="D95" s="18">
        <f t="shared" si="5"/>
        <v>0.24390243902439024</v>
      </c>
      <c r="E95" s="1" t="s">
        <v>645</v>
      </c>
      <c r="F95" s="12" t="s">
        <v>337</v>
      </c>
      <c r="G95" s="1" t="s">
        <v>760</v>
      </c>
      <c r="H95" s="1" t="str">
        <f t="shared" si="6"/>
        <v>Novel</v>
      </c>
      <c r="I95" s="1" t="s">
        <v>839</v>
      </c>
      <c r="J95" s="1" t="s">
        <v>694</v>
      </c>
      <c r="K95" s="1" t="str">
        <f t="shared" si="4"/>
        <v>Black Swan</v>
      </c>
      <c r="L95" s="1" t="s">
        <v>345</v>
      </c>
      <c r="M95" s="1" t="s">
        <v>345</v>
      </c>
    </row>
    <row r="96" spans="1:13" x14ac:dyDescent="0.25">
      <c r="A96" s="1">
        <v>81</v>
      </c>
      <c r="B96" s="1" t="s">
        <v>318</v>
      </c>
      <c r="C96" s="1">
        <v>1</v>
      </c>
      <c r="D96" s="18">
        <f t="shared" si="5"/>
        <v>0.24390243902439024</v>
      </c>
      <c r="E96" s="1" t="s">
        <v>645</v>
      </c>
      <c r="F96" s="1" t="s">
        <v>337</v>
      </c>
      <c r="G96" s="1" t="s">
        <v>760</v>
      </c>
      <c r="H96" s="1" t="str">
        <f t="shared" si="6"/>
        <v>Novel</v>
      </c>
      <c r="I96" s="1" t="s">
        <v>840</v>
      </c>
      <c r="J96" s="13" t="s">
        <v>694</v>
      </c>
      <c r="K96" s="1" t="str">
        <f t="shared" si="4"/>
        <v>Black Swan</v>
      </c>
      <c r="L96" s="1" t="s">
        <v>345</v>
      </c>
      <c r="M96" s="1" t="s">
        <v>345</v>
      </c>
    </row>
    <row r="97" spans="1:13" x14ac:dyDescent="0.25">
      <c r="A97" s="1">
        <v>82</v>
      </c>
      <c r="B97" s="13" t="s">
        <v>309</v>
      </c>
      <c r="C97" s="13">
        <v>1</v>
      </c>
      <c r="D97" s="18">
        <f t="shared" si="5"/>
        <v>0.24390243902439024</v>
      </c>
      <c r="E97" s="1" t="s">
        <v>645</v>
      </c>
      <c r="F97" s="12" t="s">
        <v>337</v>
      </c>
      <c r="G97" s="1" t="s">
        <v>760</v>
      </c>
      <c r="H97" s="1" t="str">
        <f t="shared" si="6"/>
        <v>Novel</v>
      </c>
      <c r="I97" s="1" t="s">
        <v>841</v>
      </c>
      <c r="J97" s="1" t="s">
        <v>694</v>
      </c>
      <c r="K97" s="1" t="str">
        <f t="shared" si="4"/>
        <v>Black Swan</v>
      </c>
      <c r="L97" s="1" t="s">
        <v>345</v>
      </c>
      <c r="M97" s="1" t="s">
        <v>345</v>
      </c>
    </row>
    <row r="98" spans="1:13" x14ac:dyDescent="0.25">
      <c r="A98" s="1">
        <v>83</v>
      </c>
      <c r="B98" s="1" t="s">
        <v>334</v>
      </c>
      <c r="C98" s="1">
        <v>1</v>
      </c>
      <c r="D98" s="18">
        <f t="shared" si="5"/>
        <v>0.24390243902439024</v>
      </c>
      <c r="E98" s="1" t="s">
        <v>645</v>
      </c>
      <c r="F98" s="1" t="s">
        <v>337</v>
      </c>
      <c r="G98" s="1" t="s">
        <v>760</v>
      </c>
      <c r="H98" s="1" t="str">
        <f t="shared" si="6"/>
        <v>Novel</v>
      </c>
      <c r="I98" s="1" t="s">
        <v>842</v>
      </c>
      <c r="J98" s="1" t="s">
        <v>694</v>
      </c>
      <c r="K98" s="1" t="str">
        <f t="shared" si="4"/>
        <v>Black Swan</v>
      </c>
      <c r="L98" s="1" t="s">
        <v>345</v>
      </c>
      <c r="M98" s="1" t="s">
        <v>345</v>
      </c>
    </row>
    <row r="99" spans="1:13" x14ac:dyDescent="0.25">
      <c r="A99" s="1">
        <v>84</v>
      </c>
      <c r="B99" s="1" t="s">
        <v>278</v>
      </c>
      <c r="C99" s="1">
        <v>1</v>
      </c>
      <c r="D99" s="18">
        <f t="shared" si="5"/>
        <v>0.24390243902439024</v>
      </c>
      <c r="E99" s="1" t="s">
        <v>645</v>
      </c>
      <c r="F99" s="1" t="s">
        <v>337</v>
      </c>
      <c r="G99" s="1" t="s">
        <v>760</v>
      </c>
      <c r="H99" s="1" t="str">
        <f t="shared" si="6"/>
        <v>Novel</v>
      </c>
      <c r="I99" s="1" t="s">
        <v>843</v>
      </c>
      <c r="J99" s="1" t="s">
        <v>694</v>
      </c>
      <c r="K99" s="1" t="str">
        <f t="shared" si="4"/>
        <v>Black Swan</v>
      </c>
      <c r="L99" s="1" t="s">
        <v>345</v>
      </c>
      <c r="M99" s="1" t="s">
        <v>345</v>
      </c>
    </row>
    <row r="100" spans="1:13" x14ac:dyDescent="0.25">
      <c r="A100" s="1">
        <v>85</v>
      </c>
      <c r="B100" s="13" t="s">
        <v>313</v>
      </c>
      <c r="C100" s="13">
        <v>1</v>
      </c>
      <c r="D100" s="18">
        <f t="shared" si="5"/>
        <v>0.24390243902439024</v>
      </c>
      <c r="E100" s="1" t="s">
        <v>645</v>
      </c>
      <c r="F100" s="12" t="s">
        <v>337</v>
      </c>
      <c r="G100" s="1" t="s">
        <v>760</v>
      </c>
      <c r="H100" s="1" t="str">
        <f t="shared" si="6"/>
        <v>Novel</v>
      </c>
      <c r="I100" s="1" t="s">
        <v>844</v>
      </c>
      <c r="J100" s="1" t="s">
        <v>694</v>
      </c>
      <c r="K100" s="1" t="str">
        <f t="shared" si="4"/>
        <v>Black Swan</v>
      </c>
      <c r="L100" s="1" t="s">
        <v>345</v>
      </c>
      <c r="M100" s="1" t="s">
        <v>345</v>
      </c>
    </row>
    <row r="101" spans="1:13" x14ac:dyDescent="0.25">
      <c r="A101" s="1">
        <v>86</v>
      </c>
      <c r="B101" s="1" t="s">
        <v>292</v>
      </c>
      <c r="C101" s="1">
        <v>1</v>
      </c>
      <c r="D101" s="18">
        <f t="shared" si="5"/>
        <v>0.24390243902439024</v>
      </c>
      <c r="E101" s="1" t="s">
        <v>645</v>
      </c>
      <c r="F101" s="1" t="s">
        <v>337</v>
      </c>
      <c r="G101" s="1" t="s">
        <v>760</v>
      </c>
      <c r="H101" s="1" t="str">
        <f t="shared" si="6"/>
        <v>Novel</v>
      </c>
      <c r="I101" s="1" t="s">
        <v>845</v>
      </c>
      <c r="J101" s="1" t="s">
        <v>694</v>
      </c>
      <c r="K101" s="1" t="str">
        <f t="shared" si="4"/>
        <v>Black Swan</v>
      </c>
      <c r="L101" s="1" t="s">
        <v>345</v>
      </c>
      <c r="M101" s="1" t="s">
        <v>345</v>
      </c>
    </row>
    <row r="102" spans="1:13" x14ac:dyDescent="0.25">
      <c r="A102" s="1">
        <v>87</v>
      </c>
      <c r="B102" s="1" t="s">
        <v>300</v>
      </c>
      <c r="C102" s="1">
        <v>1</v>
      </c>
      <c r="D102" s="18">
        <f t="shared" si="5"/>
        <v>0.24390243902439024</v>
      </c>
      <c r="E102" s="1" t="s">
        <v>645</v>
      </c>
      <c r="F102" s="1" t="s">
        <v>337</v>
      </c>
      <c r="G102" s="1" t="s">
        <v>760</v>
      </c>
      <c r="H102" s="1" t="str">
        <f t="shared" si="6"/>
        <v>Novel</v>
      </c>
      <c r="I102" s="1" t="s">
        <v>846</v>
      </c>
      <c r="J102" s="1" t="s">
        <v>694</v>
      </c>
      <c r="K102" s="1" t="str">
        <f t="shared" si="4"/>
        <v>Black Swan</v>
      </c>
      <c r="L102" s="1" t="s">
        <v>345</v>
      </c>
      <c r="M102" s="1" t="s">
        <v>345</v>
      </c>
    </row>
    <row r="103" spans="1:13" x14ac:dyDescent="0.25">
      <c r="A103" s="1">
        <v>88</v>
      </c>
      <c r="B103" s="13" t="s">
        <v>305</v>
      </c>
      <c r="C103" s="13">
        <v>1</v>
      </c>
      <c r="D103" s="18">
        <f t="shared" si="5"/>
        <v>0.24390243902439024</v>
      </c>
      <c r="E103" s="1" t="s">
        <v>645</v>
      </c>
      <c r="F103" s="12" t="s">
        <v>337</v>
      </c>
      <c r="G103" s="1" t="s">
        <v>760</v>
      </c>
      <c r="H103" s="1" t="str">
        <f t="shared" si="6"/>
        <v>Novel</v>
      </c>
      <c r="I103" s="1" t="s">
        <v>847</v>
      </c>
      <c r="J103" s="1" t="s">
        <v>694</v>
      </c>
      <c r="K103" s="1" t="str">
        <f t="shared" si="4"/>
        <v>Black Swan</v>
      </c>
      <c r="L103" s="1" t="s">
        <v>345</v>
      </c>
      <c r="M103" s="1" t="s">
        <v>345</v>
      </c>
    </row>
    <row r="104" spans="1:13" x14ac:dyDescent="0.25">
      <c r="A104" s="1">
        <v>89</v>
      </c>
      <c r="B104" s="1" t="s">
        <v>281</v>
      </c>
      <c r="C104" s="1">
        <v>1</v>
      </c>
      <c r="D104" s="18">
        <f t="shared" si="5"/>
        <v>0.24390243902439024</v>
      </c>
      <c r="E104" s="1" t="s">
        <v>644</v>
      </c>
      <c r="F104" s="1" t="s">
        <v>53</v>
      </c>
      <c r="G104" s="1" t="s">
        <v>755</v>
      </c>
      <c r="H104" s="1" t="str">
        <f t="shared" si="6"/>
        <v>Not novel</v>
      </c>
      <c r="I104" s="1" t="s">
        <v>848</v>
      </c>
      <c r="J104" s="1" t="s">
        <v>694</v>
      </c>
      <c r="K104" s="1" t="str">
        <f t="shared" si="4"/>
        <v>White Swan</v>
      </c>
      <c r="L104" s="1" t="s">
        <v>345</v>
      </c>
      <c r="M104" s="1" t="s">
        <v>345</v>
      </c>
    </row>
    <row r="105" spans="1:13" x14ac:dyDescent="0.25">
      <c r="A105" s="1">
        <v>90</v>
      </c>
      <c r="B105" s="13" t="s">
        <v>308</v>
      </c>
      <c r="C105" s="13">
        <v>1</v>
      </c>
      <c r="D105" s="18">
        <f t="shared" si="5"/>
        <v>0.24390243902439024</v>
      </c>
      <c r="E105" s="1" t="s">
        <v>644</v>
      </c>
      <c r="F105" s="12" t="s">
        <v>53</v>
      </c>
      <c r="G105" s="1" t="s">
        <v>755</v>
      </c>
      <c r="H105" s="1" t="str">
        <f t="shared" si="6"/>
        <v>Not novel</v>
      </c>
      <c r="I105" s="1" t="s">
        <v>849</v>
      </c>
      <c r="J105" s="1" t="s">
        <v>695</v>
      </c>
      <c r="K105" s="1" t="str">
        <f t="shared" si="4"/>
        <v>White Swan</v>
      </c>
      <c r="L105" s="1" t="s">
        <v>345</v>
      </c>
      <c r="M105" s="1" t="s">
        <v>345</v>
      </c>
    </row>
    <row r="106" spans="1:13" x14ac:dyDescent="0.25">
      <c r="A106" s="1">
        <v>91</v>
      </c>
      <c r="B106" s="1" t="s">
        <v>287</v>
      </c>
      <c r="C106" s="1">
        <v>1</v>
      </c>
      <c r="D106" s="18">
        <f t="shared" si="5"/>
        <v>0.24390243902439024</v>
      </c>
      <c r="E106" s="1" t="s">
        <v>644</v>
      </c>
      <c r="F106" s="1" t="s">
        <v>53</v>
      </c>
      <c r="G106" s="1" t="s">
        <v>755</v>
      </c>
      <c r="H106" s="1" t="str">
        <f t="shared" si="6"/>
        <v>Not novel</v>
      </c>
      <c r="I106" s="1" t="s">
        <v>850</v>
      </c>
      <c r="J106" s="1" t="s">
        <v>694</v>
      </c>
      <c r="K106" s="1" t="str">
        <f t="shared" si="4"/>
        <v>White Swan</v>
      </c>
      <c r="L106" s="1" t="s">
        <v>345</v>
      </c>
      <c r="M106" s="1" t="s">
        <v>345</v>
      </c>
    </row>
    <row r="107" spans="1:13" x14ac:dyDescent="0.25">
      <c r="A107" s="1">
        <v>92</v>
      </c>
      <c r="B107" s="13" t="s">
        <v>336</v>
      </c>
      <c r="C107" s="13">
        <v>1</v>
      </c>
      <c r="D107" s="18">
        <f t="shared" si="5"/>
        <v>0.24390243902439024</v>
      </c>
      <c r="E107" s="1" t="s">
        <v>644</v>
      </c>
      <c r="F107" s="13" t="s">
        <v>1</v>
      </c>
      <c r="G107" s="1" t="s">
        <v>755</v>
      </c>
      <c r="H107" s="1" t="str">
        <f t="shared" si="6"/>
        <v>Not novel</v>
      </c>
      <c r="I107" s="13" t="s">
        <v>851</v>
      </c>
      <c r="J107" s="1" t="s">
        <v>694</v>
      </c>
      <c r="K107" s="1" t="str">
        <f t="shared" si="4"/>
        <v>White Swan</v>
      </c>
      <c r="L107" s="1" t="s">
        <v>345</v>
      </c>
      <c r="M107" s="1" t="s">
        <v>345</v>
      </c>
    </row>
    <row r="108" spans="1:13" x14ac:dyDescent="0.25">
      <c r="A108" s="1">
        <v>93</v>
      </c>
      <c r="B108" s="1" t="s">
        <v>330</v>
      </c>
      <c r="C108" s="1">
        <v>1</v>
      </c>
      <c r="D108" s="18">
        <f t="shared" si="5"/>
        <v>0.24390243902439024</v>
      </c>
      <c r="E108" s="1" t="s">
        <v>644</v>
      </c>
      <c r="F108" s="1" t="s">
        <v>53</v>
      </c>
      <c r="G108" s="1" t="s">
        <v>755</v>
      </c>
      <c r="H108" s="1" t="str">
        <f t="shared" si="6"/>
        <v>Not novel</v>
      </c>
      <c r="I108" s="1" t="s">
        <v>852</v>
      </c>
      <c r="J108" s="1" t="s">
        <v>694</v>
      </c>
      <c r="K108" s="1" t="str">
        <f t="shared" si="4"/>
        <v>White Swan</v>
      </c>
      <c r="L108" s="1" t="s">
        <v>345</v>
      </c>
      <c r="M108" s="1" t="s">
        <v>345</v>
      </c>
    </row>
    <row r="109" spans="1:13" x14ac:dyDescent="0.25">
      <c r="A109" s="1">
        <v>94</v>
      </c>
      <c r="B109" s="1" t="s">
        <v>331</v>
      </c>
      <c r="C109" s="1">
        <v>1</v>
      </c>
      <c r="D109" s="18">
        <f t="shared" si="5"/>
        <v>0.24390243902439024</v>
      </c>
      <c r="E109" s="1" t="s">
        <v>645</v>
      </c>
      <c r="F109" s="1" t="s">
        <v>53</v>
      </c>
      <c r="G109" s="1" t="s">
        <v>755</v>
      </c>
      <c r="H109" s="1" t="str">
        <f t="shared" si="6"/>
        <v>Not novel</v>
      </c>
      <c r="I109" s="1" t="s">
        <v>853</v>
      </c>
      <c r="J109" s="13" t="s">
        <v>694</v>
      </c>
      <c r="K109" s="1" t="str">
        <f t="shared" si="4"/>
        <v>White Swan</v>
      </c>
      <c r="L109" s="1" t="s">
        <v>345</v>
      </c>
      <c r="M109" s="1" t="s">
        <v>345</v>
      </c>
    </row>
    <row r="110" spans="1:13" x14ac:dyDescent="0.25">
      <c r="A110" s="1">
        <v>95</v>
      </c>
      <c r="B110" s="1" t="s">
        <v>325</v>
      </c>
      <c r="C110" s="1">
        <v>1</v>
      </c>
      <c r="D110" s="18">
        <f t="shared" si="5"/>
        <v>0.24390243902439024</v>
      </c>
      <c r="E110" s="1" t="s">
        <v>645</v>
      </c>
      <c r="F110" s="1" t="s">
        <v>53</v>
      </c>
      <c r="G110" s="1" t="s">
        <v>755</v>
      </c>
      <c r="H110" s="1" t="str">
        <f t="shared" si="6"/>
        <v>Not novel</v>
      </c>
      <c r="I110" s="1" t="s">
        <v>854</v>
      </c>
      <c r="J110" s="1" t="s">
        <v>694</v>
      </c>
      <c r="K110" s="1" t="str">
        <f t="shared" si="4"/>
        <v>White Swan</v>
      </c>
      <c r="L110" s="1" t="s">
        <v>345</v>
      </c>
      <c r="M110" s="1" t="s">
        <v>345</v>
      </c>
    </row>
    <row r="111" spans="1:13" x14ac:dyDescent="0.25">
      <c r="A111" s="1">
        <v>96</v>
      </c>
      <c r="B111" s="13" t="s">
        <v>316</v>
      </c>
      <c r="C111" s="13">
        <v>1</v>
      </c>
      <c r="D111" s="18">
        <f t="shared" si="5"/>
        <v>0.24390243902439024</v>
      </c>
      <c r="E111" s="1" t="s">
        <v>645</v>
      </c>
      <c r="F111" s="12" t="s">
        <v>337</v>
      </c>
      <c r="G111" s="1" t="s">
        <v>760</v>
      </c>
      <c r="H111" s="1" t="str">
        <f t="shared" si="6"/>
        <v>Novel</v>
      </c>
      <c r="I111" s="1" t="s">
        <v>855</v>
      </c>
      <c r="J111" s="1" t="s">
        <v>695</v>
      </c>
      <c r="K111" s="1" t="str">
        <f t="shared" si="4"/>
        <v>White Swan</v>
      </c>
      <c r="L111" s="1" t="s">
        <v>345</v>
      </c>
      <c r="M111" s="1" t="s">
        <v>345</v>
      </c>
    </row>
    <row r="112" spans="1:13" x14ac:dyDescent="0.25">
      <c r="A112" s="1">
        <v>97</v>
      </c>
      <c r="B112" s="1" t="s">
        <v>321</v>
      </c>
      <c r="C112" s="1">
        <v>1</v>
      </c>
      <c r="D112" s="18">
        <f t="shared" si="5"/>
        <v>0.24390243902439024</v>
      </c>
      <c r="E112" s="1" t="s">
        <v>645</v>
      </c>
      <c r="F112" s="1" t="s">
        <v>337</v>
      </c>
      <c r="G112" s="1" t="s">
        <v>760</v>
      </c>
      <c r="H112" s="1" t="str">
        <f t="shared" si="6"/>
        <v>Novel</v>
      </c>
      <c r="I112" s="1" t="s">
        <v>856</v>
      </c>
      <c r="J112" s="1" t="s">
        <v>694</v>
      </c>
      <c r="K112" s="1" t="str">
        <f t="shared" ref="K112:K143" si="7">IF(AND(H112="Novel",J112="impactful"),"Black Swan","White Swan")</f>
        <v>Black Swan</v>
      </c>
      <c r="L112" s="1" t="s">
        <v>345</v>
      </c>
      <c r="M112" s="1" t="s">
        <v>345</v>
      </c>
    </row>
    <row r="113" spans="1:13" x14ac:dyDescent="0.25">
      <c r="A113" s="1">
        <v>98</v>
      </c>
      <c r="B113" s="13" t="s">
        <v>298</v>
      </c>
      <c r="C113" s="13">
        <v>1</v>
      </c>
      <c r="D113" s="18">
        <f t="shared" si="5"/>
        <v>0.24390243902439024</v>
      </c>
      <c r="E113" s="1" t="s">
        <v>645</v>
      </c>
      <c r="F113" s="13" t="s">
        <v>166</v>
      </c>
      <c r="G113" s="1" t="s">
        <v>760</v>
      </c>
      <c r="H113" s="1" t="str">
        <f t="shared" si="6"/>
        <v>Novel</v>
      </c>
      <c r="I113" s="13" t="s">
        <v>857</v>
      </c>
      <c r="J113" s="1" t="s">
        <v>694</v>
      </c>
      <c r="K113" s="1" t="str">
        <f t="shared" si="7"/>
        <v>Black Swan</v>
      </c>
      <c r="L113" s="1" t="s">
        <v>345</v>
      </c>
      <c r="M113" s="1" t="s">
        <v>345</v>
      </c>
    </row>
    <row r="114" spans="1:13" x14ac:dyDescent="0.25">
      <c r="A114" s="1">
        <v>99</v>
      </c>
      <c r="B114" s="13" t="s">
        <v>48</v>
      </c>
      <c r="C114" s="13">
        <v>1</v>
      </c>
      <c r="D114" s="18">
        <f t="shared" si="5"/>
        <v>0.24390243902439024</v>
      </c>
      <c r="E114" s="1" t="s">
        <v>644</v>
      </c>
      <c r="F114" s="13" t="s">
        <v>1</v>
      </c>
      <c r="G114" s="1" t="s">
        <v>755</v>
      </c>
      <c r="H114" s="1" t="str">
        <f t="shared" si="6"/>
        <v>Not novel</v>
      </c>
      <c r="I114" s="13" t="s">
        <v>858</v>
      </c>
      <c r="J114" s="1" t="s">
        <v>695</v>
      </c>
      <c r="K114" s="1" t="str">
        <f t="shared" si="7"/>
        <v>White Swan</v>
      </c>
      <c r="L114" s="1" t="s">
        <v>345</v>
      </c>
      <c r="M114" s="1" t="s">
        <v>345</v>
      </c>
    </row>
    <row r="115" spans="1:13" x14ac:dyDescent="0.25">
      <c r="A115" s="1">
        <v>100</v>
      </c>
      <c r="B115" s="13" t="s">
        <v>297</v>
      </c>
      <c r="C115" s="13">
        <v>1</v>
      </c>
      <c r="D115" s="18">
        <f t="shared" si="5"/>
        <v>0.24390243902439024</v>
      </c>
      <c r="E115" s="1" t="s">
        <v>644</v>
      </c>
      <c r="F115" s="13" t="s">
        <v>1</v>
      </c>
      <c r="G115" s="1" t="s">
        <v>755</v>
      </c>
      <c r="H115" s="1" t="str">
        <f t="shared" si="6"/>
        <v>Not novel</v>
      </c>
      <c r="I115" s="13" t="s">
        <v>859</v>
      </c>
      <c r="J115" s="13" t="s">
        <v>695</v>
      </c>
      <c r="K115" s="1" t="str">
        <f t="shared" si="7"/>
        <v>White Swan</v>
      </c>
      <c r="L115" s="1" t="s">
        <v>345</v>
      </c>
      <c r="M115" s="1" t="s">
        <v>345</v>
      </c>
    </row>
    <row r="116" spans="1:13" x14ac:dyDescent="0.25">
      <c r="A116" s="1">
        <v>101</v>
      </c>
      <c r="B116" s="1" t="s">
        <v>279</v>
      </c>
      <c r="C116" s="1">
        <v>1</v>
      </c>
      <c r="D116" s="18">
        <f t="shared" si="5"/>
        <v>0.24390243902439024</v>
      </c>
      <c r="E116" s="1" t="s">
        <v>645</v>
      </c>
      <c r="F116" s="1" t="s">
        <v>337</v>
      </c>
      <c r="G116" s="1" t="s">
        <v>760</v>
      </c>
      <c r="H116" s="1" t="str">
        <f t="shared" si="6"/>
        <v>Novel</v>
      </c>
      <c r="I116" s="1" t="s">
        <v>860</v>
      </c>
      <c r="J116" s="13" t="s">
        <v>694</v>
      </c>
      <c r="K116" s="1" t="str">
        <f t="shared" si="7"/>
        <v>Black Swan</v>
      </c>
      <c r="L116" s="1" t="s">
        <v>345</v>
      </c>
      <c r="M116" s="1" t="s">
        <v>345</v>
      </c>
    </row>
    <row r="117" spans="1:13" x14ac:dyDescent="0.25">
      <c r="A117" s="1">
        <v>102</v>
      </c>
      <c r="B117" s="1" t="s">
        <v>284</v>
      </c>
      <c r="C117" s="1">
        <v>1</v>
      </c>
      <c r="D117" s="18">
        <f t="shared" si="5"/>
        <v>0.24390243902439024</v>
      </c>
      <c r="E117" s="1" t="s">
        <v>645</v>
      </c>
      <c r="F117" s="1" t="s">
        <v>337</v>
      </c>
      <c r="G117" s="1" t="s">
        <v>760</v>
      </c>
      <c r="H117" s="1" t="str">
        <f t="shared" si="6"/>
        <v>Novel</v>
      </c>
      <c r="I117" s="1" t="s">
        <v>861</v>
      </c>
      <c r="J117" s="13" t="s">
        <v>694</v>
      </c>
      <c r="K117" s="1" t="str">
        <f t="shared" si="7"/>
        <v>Black Swan</v>
      </c>
      <c r="L117" s="1" t="s">
        <v>345</v>
      </c>
      <c r="M117" s="1" t="s">
        <v>345</v>
      </c>
    </row>
    <row r="118" spans="1:13" x14ac:dyDescent="0.25">
      <c r="A118" s="1">
        <v>103</v>
      </c>
      <c r="B118" s="1" t="s">
        <v>280</v>
      </c>
      <c r="C118" s="1">
        <v>1</v>
      </c>
      <c r="D118" s="18">
        <f t="shared" si="5"/>
        <v>0.24390243902439024</v>
      </c>
      <c r="E118" s="1" t="s">
        <v>645</v>
      </c>
      <c r="F118" s="1" t="s">
        <v>337</v>
      </c>
      <c r="G118" s="1" t="s">
        <v>760</v>
      </c>
      <c r="H118" s="1" t="str">
        <f t="shared" si="6"/>
        <v>Novel</v>
      </c>
      <c r="I118" s="1" t="s">
        <v>862</v>
      </c>
      <c r="J118" s="1" t="s">
        <v>695</v>
      </c>
      <c r="K118" s="1" t="str">
        <f t="shared" si="7"/>
        <v>White Swan</v>
      </c>
      <c r="L118" s="1" t="s">
        <v>345</v>
      </c>
      <c r="M118" s="1" t="s">
        <v>345</v>
      </c>
    </row>
    <row r="119" spans="1:13" x14ac:dyDescent="0.25">
      <c r="A119" s="1">
        <v>104</v>
      </c>
      <c r="B119" s="1" t="s">
        <v>286</v>
      </c>
      <c r="C119" s="1">
        <v>1</v>
      </c>
      <c r="D119" s="18">
        <f t="shared" si="5"/>
        <v>0.24390243902439024</v>
      </c>
      <c r="E119" s="1" t="s">
        <v>645</v>
      </c>
      <c r="F119" s="1" t="s">
        <v>337</v>
      </c>
      <c r="G119" s="1" t="s">
        <v>760</v>
      </c>
      <c r="H119" s="1" t="str">
        <f t="shared" si="6"/>
        <v>Novel</v>
      </c>
      <c r="I119" s="1" t="s">
        <v>863</v>
      </c>
      <c r="J119" s="1" t="s">
        <v>695</v>
      </c>
      <c r="K119" s="1" t="str">
        <f t="shared" si="7"/>
        <v>White Swan</v>
      </c>
      <c r="L119" s="1" t="s">
        <v>345</v>
      </c>
      <c r="M119" s="1" t="s">
        <v>345</v>
      </c>
    </row>
    <row r="120" spans="1:13" x14ac:dyDescent="0.25">
      <c r="A120" s="1">
        <v>105</v>
      </c>
      <c r="B120" s="1" t="s">
        <v>283</v>
      </c>
      <c r="C120" s="1">
        <v>1</v>
      </c>
      <c r="D120" s="18">
        <f t="shared" si="5"/>
        <v>0.24390243902439024</v>
      </c>
      <c r="E120" s="1" t="s">
        <v>645</v>
      </c>
      <c r="F120" s="1" t="s">
        <v>337</v>
      </c>
      <c r="G120" s="1" t="s">
        <v>760</v>
      </c>
      <c r="H120" s="1" t="str">
        <f t="shared" si="6"/>
        <v>Novel</v>
      </c>
      <c r="I120" s="1" t="s">
        <v>864</v>
      </c>
      <c r="J120" s="1" t="s">
        <v>695</v>
      </c>
      <c r="K120" s="1" t="str">
        <f t="shared" si="7"/>
        <v>White Swan</v>
      </c>
      <c r="L120" s="1" t="s">
        <v>345</v>
      </c>
      <c r="M120" s="1" t="s">
        <v>345</v>
      </c>
    </row>
    <row r="121" spans="1:13" x14ac:dyDescent="0.25">
      <c r="A121" s="1">
        <v>106</v>
      </c>
      <c r="B121" s="1" t="s">
        <v>265</v>
      </c>
      <c r="C121" s="1">
        <v>1</v>
      </c>
      <c r="D121" s="18">
        <f t="shared" si="5"/>
        <v>0.24390243902439024</v>
      </c>
      <c r="E121" s="1" t="s">
        <v>645</v>
      </c>
      <c r="F121" s="1" t="s">
        <v>166</v>
      </c>
      <c r="G121" s="1" t="s">
        <v>760</v>
      </c>
      <c r="H121" s="1" t="str">
        <f t="shared" si="6"/>
        <v>Novel</v>
      </c>
      <c r="I121" s="1" t="s">
        <v>865</v>
      </c>
      <c r="J121" s="1" t="s">
        <v>695</v>
      </c>
      <c r="K121" s="1" t="str">
        <f t="shared" si="7"/>
        <v>White Swan</v>
      </c>
      <c r="L121" s="1" t="s">
        <v>345</v>
      </c>
      <c r="M121" s="1" t="s">
        <v>345</v>
      </c>
    </row>
    <row r="122" spans="1:13" x14ac:dyDescent="0.25">
      <c r="A122" s="1">
        <v>107</v>
      </c>
      <c r="B122" s="1" t="s">
        <v>268</v>
      </c>
      <c r="C122" s="1">
        <v>1</v>
      </c>
      <c r="D122" s="18">
        <f t="shared" si="5"/>
        <v>0.24390243902439024</v>
      </c>
      <c r="E122" s="1" t="s">
        <v>645</v>
      </c>
      <c r="F122" s="1" t="s">
        <v>1</v>
      </c>
      <c r="G122" s="1" t="s">
        <v>755</v>
      </c>
      <c r="H122" s="1" t="str">
        <f t="shared" si="6"/>
        <v>Not novel</v>
      </c>
      <c r="I122" s="1" t="s">
        <v>866</v>
      </c>
      <c r="J122" s="13" t="s">
        <v>695</v>
      </c>
      <c r="K122" s="1" t="str">
        <f t="shared" si="7"/>
        <v>White Swan</v>
      </c>
      <c r="L122" s="1" t="s">
        <v>345</v>
      </c>
      <c r="M122" s="1" t="s">
        <v>345</v>
      </c>
    </row>
    <row r="123" spans="1:13" x14ac:dyDescent="0.25">
      <c r="A123" s="1">
        <v>108</v>
      </c>
      <c r="B123" s="1" t="s">
        <v>267</v>
      </c>
      <c r="C123" s="1">
        <v>1</v>
      </c>
      <c r="D123" s="18">
        <f t="shared" si="5"/>
        <v>0.24390243902439024</v>
      </c>
      <c r="E123" s="1" t="s">
        <v>645</v>
      </c>
      <c r="F123" s="1" t="s">
        <v>1</v>
      </c>
      <c r="G123" s="1" t="s">
        <v>755</v>
      </c>
      <c r="H123" s="1" t="str">
        <f t="shared" si="6"/>
        <v>Not novel</v>
      </c>
      <c r="I123" s="1" t="s">
        <v>867</v>
      </c>
      <c r="J123" s="13" t="s">
        <v>694</v>
      </c>
      <c r="K123" s="1" t="str">
        <f t="shared" si="7"/>
        <v>White Swan</v>
      </c>
      <c r="L123" s="1" t="s">
        <v>345</v>
      </c>
      <c r="M123" s="1" t="s">
        <v>345</v>
      </c>
    </row>
    <row r="124" spans="1:13" x14ac:dyDescent="0.25">
      <c r="A124" s="1">
        <v>109</v>
      </c>
      <c r="B124" s="1" t="s">
        <v>269</v>
      </c>
      <c r="C124" s="1">
        <v>1</v>
      </c>
      <c r="D124" s="18">
        <f t="shared" si="5"/>
        <v>0.24390243902439024</v>
      </c>
      <c r="E124" s="1" t="s">
        <v>645</v>
      </c>
      <c r="F124" s="1" t="s">
        <v>53</v>
      </c>
      <c r="G124" s="1" t="s">
        <v>755</v>
      </c>
      <c r="H124" s="1" t="str">
        <f t="shared" si="6"/>
        <v>Not novel</v>
      </c>
      <c r="I124" s="1" t="s">
        <v>868</v>
      </c>
      <c r="J124" s="13" t="s">
        <v>695</v>
      </c>
      <c r="K124" s="1" t="str">
        <f t="shared" si="7"/>
        <v>White Swan</v>
      </c>
      <c r="L124" s="1" t="s">
        <v>345</v>
      </c>
      <c r="M124" s="1" t="s">
        <v>345</v>
      </c>
    </row>
    <row r="125" spans="1:13" x14ac:dyDescent="0.25">
      <c r="A125" s="1">
        <v>110</v>
      </c>
      <c r="B125" s="1" t="s">
        <v>266</v>
      </c>
      <c r="C125" s="1">
        <v>1</v>
      </c>
      <c r="D125" s="18">
        <f t="shared" si="5"/>
        <v>0.24390243902439024</v>
      </c>
      <c r="E125" s="1" t="s">
        <v>645</v>
      </c>
      <c r="F125" s="1" t="s">
        <v>1</v>
      </c>
      <c r="G125" s="1" t="s">
        <v>755</v>
      </c>
      <c r="H125" s="1" t="str">
        <f t="shared" si="6"/>
        <v>Not novel</v>
      </c>
      <c r="I125" s="1" t="s">
        <v>869</v>
      </c>
      <c r="J125" s="1" t="s">
        <v>694</v>
      </c>
      <c r="K125" s="1" t="str">
        <f t="shared" si="7"/>
        <v>White Swan</v>
      </c>
      <c r="L125" s="1" t="s">
        <v>345</v>
      </c>
      <c r="M125" s="1" t="s">
        <v>345</v>
      </c>
    </row>
    <row r="126" spans="1:13" x14ac:dyDescent="0.25">
      <c r="A126" s="1">
        <v>111</v>
      </c>
      <c r="B126" s="1" t="s">
        <v>289</v>
      </c>
      <c r="C126" s="1">
        <v>1</v>
      </c>
      <c r="D126" s="18">
        <f t="shared" si="5"/>
        <v>0.24390243902439024</v>
      </c>
      <c r="E126" s="1" t="s">
        <v>645</v>
      </c>
      <c r="F126" s="1" t="s">
        <v>53</v>
      </c>
      <c r="G126" s="1" t="s">
        <v>755</v>
      </c>
      <c r="H126" s="1" t="str">
        <f t="shared" si="6"/>
        <v>Not novel</v>
      </c>
      <c r="I126" s="1" t="s">
        <v>870</v>
      </c>
      <c r="J126" s="1" t="s">
        <v>694</v>
      </c>
      <c r="K126" s="1" t="str">
        <f t="shared" si="7"/>
        <v>White Swan</v>
      </c>
      <c r="L126" s="1" t="s">
        <v>345</v>
      </c>
      <c r="M126" s="1" t="s">
        <v>345</v>
      </c>
    </row>
    <row r="127" spans="1:13" x14ac:dyDescent="0.25">
      <c r="A127" s="1">
        <v>112</v>
      </c>
      <c r="B127" s="13" t="s">
        <v>49</v>
      </c>
      <c r="C127" s="13">
        <v>1</v>
      </c>
      <c r="D127" s="18">
        <f t="shared" si="5"/>
        <v>0.24390243902439024</v>
      </c>
      <c r="E127" s="1" t="s">
        <v>644</v>
      </c>
      <c r="F127" s="13" t="s">
        <v>1</v>
      </c>
      <c r="G127" s="1" t="s">
        <v>755</v>
      </c>
      <c r="H127" s="1" t="str">
        <f t="shared" si="6"/>
        <v>Not novel</v>
      </c>
      <c r="I127" s="13" t="s">
        <v>871</v>
      </c>
      <c r="J127" s="1" t="s">
        <v>695</v>
      </c>
      <c r="K127" s="1" t="str">
        <f t="shared" si="7"/>
        <v>White Swan</v>
      </c>
      <c r="L127" s="1" t="s">
        <v>345</v>
      </c>
      <c r="M127" s="1" t="s">
        <v>345</v>
      </c>
    </row>
    <row r="128" spans="1:13" x14ac:dyDescent="0.25">
      <c r="A128" s="1">
        <v>113</v>
      </c>
      <c r="B128" s="13" t="s">
        <v>312</v>
      </c>
      <c r="C128" s="13">
        <v>1</v>
      </c>
      <c r="D128" s="18">
        <f t="shared" si="5"/>
        <v>0.24390243902439024</v>
      </c>
      <c r="E128" s="1" t="s">
        <v>645</v>
      </c>
      <c r="F128" s="12" t="s">
        <v>337</v>
      </c>
      <c r="G128" s="1" t="s">
        <v>760</v>
      </c>
      <c r="H128" s="1" t="str">
        <f t="shared" si="6"/>
        <v>Novel</v>
      </c>
      <c r="I128" s="1" t="s">
        <v>872</v>
      </c>
      <c r="J128" s="1" t="s">
        <v>694</v>
      </c>
      <c r="K128" s="1" t="str">
        <f t="shared" si="7"/>
        <v>Black Swan</v>
      </c>
      <c r="L128" s="1" t="s">
        <v>345</v>
      </c>
      <c r="M128" s="1" t="s">
        <v>345</v>
      </c>
    </row>
    <row r="129" spans="1:13" x14ac:dyDescent="0.25">
      <c r="A129" s="1">
        <v>114</v>
      </c>
      <c r="B129" s="1" t="s">
        <v>301</v>
      </c>
      <c r="C129" s="1">
        <v>1</v>
      </c>
      <c r="D129" s="18">
        <f t="shared" si="5"/>
        <v>0.24390243902439024</v>
      </c>
      <c r="E129" s="1" t="s">
        <v>645</v>
      </c>
      <c r="F129" s="1" t="s">
        <v>337</v>
      </c>
      <c r="G129" s="1" t="s">
        <v>760</v>
      </c>
      <c r="H129" s="1" t="str">
        <f t="shared" si="6"/>
        <v>Novel</v>
      </c>
      <c r="I129" s="1" t="s">
        <v>873</v>
      </c>
      <c r="J129" s="13" t="s">
        <v>694</v>
      </c>
      <c r="K129" s="1" t="str">
        <f t="shared" si="7"/>
        <v>Black Swan</v>
      </c>
      <c r="L129" s="1" t="s">
        <v>345</v>
      </c>
      <c r="M129" s="1" t="s">
        <v>345</v>
      </c>
    </row>
    <row r="130" spans="1:13" x14ac:dyDescent="0.25">
      <c r="A130" s="1">
        <v>115</v>
      </c>
      <c r="B130" s="13" t="s">
        <v>303</v>
      </c>
      <c r="C130" s="13">
        <v>1</v>
      </c>
      <c r="D130" s="18">
        <f t="shared" si="5"/>
        <v>0.24390243902439024</v>
      </c>
      <c r="E130" s="1" t="s">
        <v>645</v>
      </c>
      <c r="F130" s="12" t="s">
        <v>337</v>
      </c>
      <c r="G130" s="1" t="s">
        <v>760</v>
      </c>
      <c r="H130" s="1" t="str">
        <f t="shared" si="6"/>
        <v>Novel</v>
      </c>
      <c r="I130" s="1" t="s">
        <v>874</v>
      </c>
      <c r="J130" s="13" t="s">
        <v>694</v>
      </c>
      <c r="K130" s="1" t="str">
        <f t="shared" si="7"/>
        <v>Black Swan</v>
      </c>
      <c r="L130" s="1" t="s">
        <v>345</v>
      </c>
      <c r="M130" s="1" t="s">
        <v>345</v>
      </c>
    </row>
    <row r="131" spans="1:13" x14ac:dyDescent="0.25">
      <c r="A131" s="1">
        <v>116</v>
      </c>
      <c r="B131" s="13" t="s">
        <v>310</v>
      </c>
      <c r="C131" s="13">
        <v>1</v>
      </c>
      <c r="D131" s="18">
        <f t="shared" si="5"/>
        <v>0.24390243902439024</v>
      </c>
      <c r="E131" s="1" t="s">
        <v>645</v>
      </c>
      <c r="F131" s="12" t="s">
        <v>337</v>
      </c>
      <c r="G131" s="1" t="s">
        <v>760</v>
      </c>
      <c r="H131" s="1" t="str">
        <f t="shared" si="6"/>
        <v>Novel</v>
      </c>
      <c r="I131" s="1" t="s">
        <v>875</v>
      </c>
      <c r="J131" s="13" t="s">
        <v>694</v>
      </c>
      <c r="K131" s="1" t="str">
        <f t="shared" si="7"/>
        <v>Black Swan</v>
      </c>
      <c r="L131" s="1" t="s">
        <v>345</v>
      </c>
      <c r="M131" s="1" t="s">
        <v>345</v>
      </c>
    </row>
    <row r="132" spans="1:13" x14ac:dyDescent="0.25">
      <c r="A132" s="1">
        <v>117</v>
      </c>
      <c r="B132" s="13" t="s">
        <v>296</v>
      </c>
      <c r="C132" s="13">
        <v>1</v>
      </c>
      <c r="D132" s="18">
        <f t="shared" si="5"/>
        <v>0.24390243902439024</v>
      </c>
      <c r="E132" s="1" t="s">
        <v>644</v>
      </c>
      <c r="F132" s="13" t="s">
        <v>1</v>
      </c>
      <c r="G132" s="1" t="s">
        <v>755</v>
      </c>
      <c r="H132" s="1" t="str">
        <f t="shared" si="6"/>
        <v>Not novel</v>
      </c>
      <c r="I132" s="13" t="s">
        <v>876</v>
      </c>
      <c r="J132" s="1" t="s">
        <v>695</v>
      </c>
      <c r="K132" s="1" t="str">
        <f t="shared" si="7"/>
        <v>White Swan</v>
      </c>
      <c r="L132" s="1" t="s">
        <v>345</v>
      </c>
      <c r="M132" s="1" t="s">
        <v>345</v>
      </c>
    </row>
    <row r="133" spans="1:13" ht="15.75" customHeight="1" x14ac:dyDescent="0.25">
      <c r="A133" s="1">
        <v>118</v>
      </c>
      <c r="B133" s="1" t="s">
        <v>262</v>
      </c>
      <c r="C133" s="1">
        <v>1</v>
      </c>
      <c r="D133" s="18">
        <f t="shared" si="5"/>
        <v>0.24390243902439024</v>
      </c>
      <c r="E133" s="1" t="s">
        <v>644</v>
      </c>
      <c r="F133" s="1" t="s">
        <v>1</v>
      </c>
      <c r="G133" s="1" t="s">
        <v>755</v>
      </c>
      <c r="H133" s="1" t="str">
        <f t="shared" si="6"/>
        <v>Not novel</v>
      </c>
      <c r="I133" s="1" t="s">
        <v>877</v>
      </c>
      <c r="J133" s="1" t="s">
        <v>695</v>
      </c>
      <c r="K133" s="1" t="str">
        <f t="shared" si="7"/>
        <v>White Swan</v>
      </c>
      <c r="L133" s="1" t="s">
        <v>345</v>
      </c>
      <c r="M133" s="1" t="s">
        <v>345</v>
      </c>
    </row>
    <row r="134" spans="1:13" x14ac:dyDescent="0.25">
      <c r="A134" s="1">
        <v>119</v>
      </c>
      <c r="B134" s="1" t="s">
        <v>260</v>
      </c>
      <c r="C134" s="1">
        <v>1</v>
      </c>
      <c r="D134" s="18">
        <f t="shared" si="5"/>
        <v>0.24390243902439024</v>
      </c>
      <c r="E134" s="1" t="s">
        <v>644</v>
      </c>
      <c r="F134" s="1" t="s">
        <v>1</v>
      </c>
      <c r="G134" s="1" t="s">
        <v>755</v>
      </c>
      <c r="H134" s="1" t="str">
        <f t="shared" si="6"/>
        <v>Not novel</v>
      </c>
      <c r="I134" s="1" t="s">
        <v>878</v>
      </c>
      <c r="J134" s="1" t="s">
        <v>695</v>
      </c>
      <c r="K134" s="1" t="str">
        <f t="shared" si="7"/>
        <v>White Swan</v>
      </c>
      <c r="L134" s="1" t="s">
        <v>345</v>
      </c>
      <c r="M134" s="1" t="s">
        <v>345</v>
      </c>
    </row>
    <row r="135" spans="1:13" x14ac:dyDescent="0.25">
      <c r="A135" s="1">
        <v>120</v>
      </c>
      <c r="B135" s="1" t="s">
        <v>261</v>
      </c>
      <c r="C135" s="1">
        <v>1</v>
      </c>
      <c r="D135" s="18">
        <f t="shared" si="5"/>
        <v>0.24390243902439024</v>
      </c>
      <c r="E135" s="1" t="s">
        <v>645</v>
      </c>
      <c r="F135" s="1" t="s">
        <v>1</v>
      </c>
      <c r="G135" s="1" t="s">
        <v>755</v>
      </c>
      <c r="H135" s="1" t="str">
        <f t="shared" si="6"/>
        <v>Not novel</v>
      </c>
      <c r="I135" s="1" t="s">
        <v>879</v>
      </c>
      <c r="J135" s="1" t="s">
        <v>695</v>
      </c>
      <c r="K135" s="1" t="str">
        <f t="shared" si="7"/>
        <v>White Swan</v>
      </c>
      <c r="L135" s="1" t="s">
        <v>345</v>
      </c>
      <c r="M135" s="1" t="s">
        <v>345</v>
      </c>
    </row>
    <row r="136" spans="1:13" x14ac:dyDescent="0.25">
      <c r="A136" s="1">
        <v>121</v>
      </c>
      <c r="B136" s="1" t="s">
        <v>264</v>
      </c>
      <c r="C136" s="1">
        <v>1</v>
      </c>
      <c r="D136" s="18">
        <f t="shared" si="5"/>
        <v>0.24390243902439024</v>
      </c>
      <c r="E136" s="1" t="s">
        <v>644</v>
      </c>
      <c r="F136" s="1" t="s">
        <v>1</v>
      </c>
      <c r="G136" s="1" t="s">
        <v>755</v>
      </c>
      <c r="H136" s="1" t="str">
        <f t="shared" si="6"/>
        <v>Not novel</v>
      </c>
      <c r="I136" s="1" t="s">
        <v>880</v>
      </c>
      <c r="J136" s="13" t="s">
        <v>695</v>
      </c>
      <c r="K136" s="1" t="str">
        <f t="shared" si="7"/>
        <v>White Swan</v>
      </c>
      <c r="L136" s="1" t="s">
        <v>345</v>
      </c>
      <c r="M136" s="1" t="s">
        <v>345</v>
      </c>
    </row>
    <row r="137" spans="1:13" x14ac:dyDescent="0.25">
      <c r="A137" s="1">
        <v>122</v>
      </c>
      <c r="B137" s="1" t="s">
        <v>275</v>
      </c>
      <c r="C137" s="1">
        <v>1</v>
      </c>
      <c r="D137" s="18">
        <f t="shared" si="5"/>
        <v>0.24390243902439024</v>
      </c>
      <c r="E137" s="1" t="s">
        <v>645</v>
      </c>
      <c r="F137" s="1" t="s">
        <v>53</v>
      </c>
      <c r="G137" s="1" t="s">
        <v>755</v>
      </c>
      <c r="H137" s="1" t="str">
        <f t="shared" si="6"/>
        <v>Not novel</v>
      </c>
      <c r="I137" s="1" t="s">
        <v>881</v>
      </c>
      <c r="J137" s="13" t="s">
        <v>695</v>
      </c>
      <c r="K137" s="1" t="str">
        <f t="shared" si="7"/>
        <v>White Swan</v>
      </c>
      <c r="L137" s="1" t="s">
        <v>345</v>
      </c>
      <c r="M137" s="1" t="s">
        <v>345</v>
      </c>
    </row>
    <row r="138" spans="1:13" x14ac:dyDescent="0.25">
      <c r="A138" s="1">
        <v>123</v>
      </c>
      <c r="B138" s="13" t="s">
        <v>317</v>
      </c>
      <c r="C138" s="13">
        <v>1</v>
      </c>
      <c r="D138" s="18">
        <f t="shared" si="5"/>
        <v>0.24390243902439024</v>
      </c>
      <c r="E138" s="1" t="s">
        <v>645</v>
      </c>
      <c r="F138" s="12" t="s">
        <v>337</v>
      </c>
      <c r="G138" s="1" t="s">
        <v>760</v>
      </c>
      <c r="H138" s="1" t="str">
        <f t="shared" si="6"/>
        <v>Novel</v>
      </c>
      <c r="I138" s="1" t="s">
        <v>882</v>
      </c>
      <c r="J138" s="13" t="s">
        <v>694</v>
      </c>
      <c r="K138" s="1" t="str">
        <f t="shared" si="7"/>
        <v>Black Swan</v>
      </c>
      <c r="L138" s="1" t="s">
        <v>345</v>
      </c>
      <c r="M138" s="1" t="s">
        <v>345</v>
      </c>
    </row>
    <row r="139" spans="1:13" x14ac:dyDescent="0.25">
      <c r="A139" s="1">
        <v>124</v>
      </c>
      <c r="B139" s="1" t="s">
        <v>324</v>
      </c>
      <c r="C139" s="1">
        <v>1</v>
      </c>
      <c r="D139" s="18">
        <f t="shared" si="5"/>
        <v>0.24390243902439024</v>
      </c>
      <c r="E139" s="1" t="s">
        <v>644</v>
      </c>
      <c r="F139" s="1" t="s">
        <v>53</v>
      </c>
      <c r="G139" s="1" t="s">
        <v>755</v>
      </c>
      <c r="H139" s="1" t="str">
        <f t="shared" si="6"/>
        <v>Not novel</v>
      </c>
      <c r="I139" s="1" t="s">
        <v>883</v>
      </c>
      <c r="J139" s="1" t="s">
        <v>694</v>
      </c>
      <c r="K139" s="1" t="str">
        <f t="shared" si="7"/>
        <v>White Swan</v>
      </c>
      <c r="L139" s="1" t="s">
        <v>345</v>
      </c>
      <c r="M139" s="1" t="s">
        <v>345</v>
      </c>
    </row>
    <row r="140" spans="1:13" x14ac:dyDescent="0.25">
      <c r="A140" s="1">
        <v>125</v>
      </c>
      <c r="B140" s="1" t="s">
        <v>335</v>
      </c>
      <c r="C140" s="1">
        <v>1</v>
      </c>
      <c r="D140" s="18">
        <f t="shared" si="5"/>
        <v>0.24390243902439024</v>
      </c>
      <c r="E140" s="1" t="s">
        <v>644</v>
      </c>
      <c r="F140" s="1" t="s">
        <v>53</v>
      </c>
      <c r="G140" s="1" t="s">
        <v>755</v>
      </c>
      <c r="H140" s="1" t="str">
        <f t="shared" si="6"/>
        <v>Not novel</v>
      </c>
      <c r="I140" s="1" t="s">
        <v>884</v>
      </c>
      <c r="J140" s="1" t="s">
        <v>694</v>
      </c>
      <c r="K140" s="1" t="str">
        <f t="shared" si="7"/>
        <v>White Swan</v>
      </c>
      <c r="L140" s="1" t="s">
        <v>345</v>
      </c>
      <c r="M140" s="1" t="s">
        <v>345</v>
      </c>
    </row>
    <row r="141" spans="1:13" x14ac:dyDescent="0.25">
      <c r="A141" s="1">
        <v>126</v>
      </c>
      <c r="B141" s="1" t="s">
        <v>333</v>
      </c>
      <c r="C141" s="1">
        <v>1</v>
      </c>
      <c r="D141" s="18">
        <f t="shared" si="5"/>
        <v>0.24390243902439024</v>
      </c>
      <c r="E141" s="1" t="s">
        <v>645</v>
      </c>
      <c r="F141" s="1" t="s">
        <v>53</v>
      </c>
      <c r="G141" s="1" t="s">
        <v>755</v>
      </c>
      <c r="H141" s="1" t="str">
        <f t="shared" si="6"/>
        <v>Not novel</v>
      </c>
      <c r="I141" s="1" t="s">
        <v>885</v>
      </c>
      <c r="J141" s="1" t="s">
        <v>694</v>
      </c>
      <c r="K141" s="1" t="str">
        <f t="shared" si="7"/>
        <v>White Swan</v>
      </c>
      <c r="L141" s="1" t="s">
        <v>345</v>
      </c>
      <c r="M141" s="1" t="s">
        <v>345</v>
      </c>
    </row>
    <row r="142" spans="1:13" x14ac:dyDescent="0.25">
      <c r="A142" s="1">
        <v>127</v>
      </c>
      <c r="B142" s="1" t="s">
        <v>322</v>
      </c>
      <c r="C142" s="1">
        <v>1</v>
      </c>
      <c r="D142" s="18">
        <f t="shared" si="5"/>
        <v>0.24390243902439024</v>
      </c>
      <c r="E142" s="1" t="s">
        <v>645</v>
      </c>
      <c r="F142" s="1" t="s">
        <v>337</v>
      </c>
      <c r="G142" s="1" t="s">
        <v>760</v>
      </c>
      <c r="H142" s="1" t="str">
        <f t="shared" si="6"/>
        <v>Novel</v>
      </c>
      <c r="I142" s="1" t="s">
        <v>886</v>
      </c>
      <c r="J142" s="1" t="s">
        <v>694</v>
      </c>
      <c r="K142" s="1" t="str">
        <f t="shared" si="7"/>
        <v>Black Swan</v>
      </c>
      <c r="L142" s="1" t="s">
        <v>345</v>
      </c>
      <c r="M142" s="1" t="s">
        <v>345</v>
      </c>
    </row>
    <row r="143" spans="1:13" x14ac:dyDescent="0.25">
      <c r="A143" s="1">
        <v>128</v>
      </c>
      <c r="B143" s="1" t="s">
        <v>332</v>
      </c>
      <c r="C143" s="1">
        <v>1</v>
      </c>
      <c r="D143" s="18">
        <f t="shared" si="5"/>
        <v>0.24390243902439024</v>
      </c>
      <c r="E143" s="1" t="s">
        <v>645</v>
      </c>
      <c r="F143" s="1" t="s">
        <v>337</v>
      </c>
      <c r="G143" s="1" t="s">
        <v>760</v>
      </c>
      <c r="H143" s="1" t="str">
        <f t="shared" si="6"/>
        <v>Novel</v>
      </c>
      <c r="I143" s="1" t="s">
        <v>887</v>
      </c>
      <c r="J143" s="13" t="s">
        <v>694</v>
      </c>
      <c r="K143" s="1" t="str">
        <f t="shared" si="7"/>
        <v>Black Swan</v>
      </c>
      <c r="L143" s="1" t="s">
        <v>345</v>
      </c>
      <c r="M143" s="1" t="s">
        <v>345</v>
      </c>
    </row>
    <row r="144" spans="1:13" x14ac:dyDescent="0.25">
      <c r="A144" s="1">
        <v>129</v>
      </c>
      <c r="B144" s="1" t="s">
        <v>326</v>
      </c>
      <c r="C144" s="1">
        <v>1</v>
      </c>
      <c r="D144" s="18">
        <f t="shared" si="5"/>
        <v>0.24390243902439024</v>
      </c>
      <c r="E144" s="1" t="s">
        <v>645</v>
      </c>
      <c r="F144" s="1" t="s">
        <v>337</v>
      </c>
      <c r="G144" s="1" t="s">
        <v>760</v>
      </c>
      <c r="H144" s="1" t="str">
        <f t="shared" si="6"/>
        <v>Novel</v>
      </c>
      <c r="I144" s="1" t="s">
        <v>888</v>
      </c>
      <c r="J144" s="13" t="s">
        <v>694</v>
      </c>
      <c r="K144" s="1" t="str">
        <f t="shared" ref="K144:K148" si="8">IF(AND(H144="Novel",J144="impactful"),"Black Swan","White Swan")</f>
        <v>Black Swan</v>
      </c>
      <c r="L144" s="1" t="s">
        <v>345</v>
      </c>
      <c r="M144" s="1" t="s">
        <v>345</v>
      </c>
    </row>
    <row r="145" spans="1:13" x14ac:dyDescent="0.25">
      <c r="A145" s="1">
        <v>130</v>
      </c>
      <c r="B145" s="1" t="s">
        <v>327</v>
      </c>
      <c r="C145" s="1">
        <v>1</v>
      </c>
      <c r="D145" s="18">
        <f t="shared" ref="D145:D148" si="9">(C145/SUM(C$16:C$148))*100</f>
        <v>0.24390243902439024</v>
      </c>
      <c r="E145" s="1" t="s">
        <v>645</v>
      </c>
      <c r="F145" s="1" t="s">
        <v>337</v>
      </c>
      <c r="G145" s="1" t="s">
        <v>760</v>
      </c>
      <c r="H145" s="1" t="str">
        <f t="shared" ref="H145:H148" si="10">IF(AND(E145="original",F145="atypical"),"Novel","Not novel")</f>
        <v>Novel</v>
      </c>
      <c r="I145" s="1" t="s">
        <v>889</v>
      </c>
      <c r="J145" s="13" t="s">
        <v>694</v>
      </c>
      <c r="K145" s="1" t="str">
        <f t="shared" si="8"/>
        <v>Black Swan</v>
      </c>
      <c r="L145" s="1" t="s">
        <v>345</v>
      </c>
      <c r="M145" s="1" t="s">
        <v>345</v>
      </c>
    </row>
    <row r="146" spans="1:13" x14ac:dyDescent="0.25">
      <c r="A146" s="1">
        <v>131</v>
      </c>
      <c r="B146" s="1" t="s">
        <v>329</v>
      </c>
      <c r="C146" s="1">
        <v>1</v>
      </c>
      <c r="D146" s="18">
        <f t="shared" si="9"/>
        <v>0.24390243902439024</v>
      </c>
      <c r="E146" s="1" t="s">
        <v>645</v>
      </c>
      <c r="F146" s="1" t="s">
        <v>337</v>
      </c>
      <c r="G146" s="1" t="s">
        <v>760</v>
      </c>
      <c r="H146" s="1" t="str">
        <f t="shared" si="10"/>
        <v>Novel</v>
      </c>
      <c r="I146" s="1" t="s">
        <v>890</v>
      </c>
      <c r="J146" s="1" t="s">
        <v>694</v>
      </c>
      <c r="K146" s="1" t="str">
        <f t="shared" si="8"/>
        <v>Black Swan</v>
      </c>
      <c r="L146" s="1" t="s">
        <v>345</v>
      </c>
      <c r="M146" s="1" t="s">
        <v>345</v>
      </c>
    </row>
    <row r="147" spans="1:13" x14ac:dyDescent="0.25">
      <c r="A147" s="1">
        <v>132</v>
      </c>
      <c r="B147" s="1" t="s">
        <v>328</v>
      </c>
      <c r="C147" s="1">
        <v>1</v>
      </c>
      <c r="D147" s="18">
        <f t="shared" si="9"/>
        <v>0.24390243902439024</v>
      </c>
      <c r="E147" s="1" t="s">
        <v>645</v>
      </c>
      <c r="F147" s="1" t="s">
        <v>337</v>
      </c>
      <c r="G147" s="1" t="s">
        <v>760</v>
      </c>
      <c r="H147" s="1" t="str">
        <f t="shared" si="10"/>
        <v>Novel</v>
      </c>
      <c r="I147" s="1" t="s">
        <v>891</v>
      </c>
      <c r="J147" s="1" t="s">
        <v>694</v>
      </c>
      <c r="K147" s="1" t="str">
        <f t="shared" si="8"/>
        <v>Black Swan</v>
      </c>
      <c r="L147" s="1" t="s">
        <v>345</v>
      </c>
      <c r="M147" s="1" t="s">
        <v>345</v>
      </c>
    </row>
    <row r="148" spans="1:13" x14ac:dyDescent="0.25">
      <c r="A148" s="1">
        <v>133</v>
      </c>
      <c r="B148" s="13" t="s">
        <v>307</v>
      </c>
      <c r="C148" s="13">
        <v>1</v>
      </c>
      <c r="D148" s="18">
        <f t="shared" si="9"/>
        <v>0.24390243902439024</v>
      </c>
      <c r="E148" s="1" t="s">
        <v>645</v>
      </c>
      <c r="F148" s="12" t="s">
        <v>337</v>
      </c>
      <c r="G148" s="1" t="s">
        <v>760</v>
      </c>
      <c r="H148" s="1" t="str">
        <f t="shared" si="10"/>
        <v>Novel</v>
      </c>
      <c r="I148" s="1" t="s">
        <v>892</v>
      </c>
      <c r="J148" s="1" t="s">
        <v>694</v>
      </c>
      <c r="K148" s="1" t="str">
        <f t="shared" si="8"/>
        <v>Black Swan</v>
      </c>
      <c r="L148" s="1" t="s">
        <v>345</v>
      </c>
      <c r="M148" s="1" t="s">
        <v>345</v>
      </c>
    </row>
  </sheetData>
  <autoFilter ref="B15:M148" xr:uid="{70ED5329-59D8-4047-86EF-6F54D6730792}"/>
  <sortState xmlns:xlrd2="http://schemas.microsoft.com/office/spreadsheetml/2017/richdata2" ref="B16:M148">
    <sortCondition descending="1" ref="C16:C148"/>
  </sortState>
  <mergeCells count="3">
    <mergeCell ref="A14:B14"/>
    <mergeCell ref="B8:C8"/>
    <mergeCell ref="B11:C11"/>
  </mergeCells>
  <conditionalFormatting sqref="E16:E148">
    <cfRule type="cellIs" dxfId="31" priority="73" operator="equal">
      <formula>"not original"</formula>
    </cfRule>
    <cfRule type="cellIs" dxfId="30" priority="74" operator="equal">
      <formula>"original"</formula>
    </cfRule>
  </conditionalFormatting>
  <conditionalFormatting sqref="F16:F148">
    <cfRule type="cellIs" dxfId="29" priority="77" operator="equal">
      <formula>$A$10</formula>
    </cfRule>
    <cfRule type="cellIs" dxfId="28" priority="78" operator="equal">
      <formula>$A$9</formula>
    </cfRule>
  </conditionalFormatting>
  <conditionalFormatting sqref="H16:H148">
    <cfRule type="cellIs" dxfId="27" priority="69" operator="equal">
      <formula>$A$7</formula>
    </cfRule>
    <cfRule type="cellIs" dxfId="26" priority="70" operator="equal">
      <formula>$A$6</formula>
    </cfRule>
  </conditionalFormatting>
  <conditionalFormatting sqref="J16:K148">
    <cfRule type="cellIs" dxfId="25" priority="61" operator="equal">
      <formula>"not impactful"</formula>
    </cfRule>
    <cfRule type="cellIs" dxfId="24" priority="62" operator="equal">
      <formula>"impactful"</formula>
    </cfRule>
  </conditionalFormatting>
  <conditionalFormatting sqref="K16:K148">
    <cfRule type="cellIs" dxfId="23" priority="60" operator="equal">
      <formula>"Black Swan"</formula>
    </cfRule>
  </conditionalFormatting>
  <conditionalFormatting sqref="L16:L148">
    <cfRule type="cellIs" dxfId="22" priority="86" operator="equal">
      <formula>$A$2</formula>
    </cfRule>
    <cfRule type="cellIs" dxfId="21" priority="87" operator="equal">
      <formula>$A$3</formula>
    </cfRule>
    <cfRule type="cellIs" dxfId="20" priority="88" operator="equal">
      <formula>"agree"</formula>
    </cfRule>
  </conditionalFormatting>
  <conditionalFormatting sqref="L16:M148">
    <cfRule type="cellIs" dxfId="19" priority="81" operator="equal">
      <formula>$A$3</formula>
    </cfRule>
  </conditionalFormatting>
  <conditionalFormatting sqref="M16:M148">
    <cfRule type="cellIs" dxfId="18" priority="100" operator="equal">
      <formula>$B$3</formula>
    </cfRule>
    <cfRule type="cellIs" dxfId="17" priority="101" operator="equal">
      <formula>$B$3</formula>
    </cfRule>
    <cfRule type="cellIs" dxfId="16" priority="102" operator="equal">
      <formula>$B$2</formula>
    </cfRule>
  </conditionalFormatting>
  <dataValidations count="5">
    <dataValidation type="list" allowBlank="1" showInputMessage="1" showErrorMessage="1" sqref="F16:F148" xr:uid="{3F9941C1-F413-4919-A79E-8989BE67DF5A}">
      <formula1>$A$9:$A$10</formula1>
    </dataValidation>
    <dataValidation type="list" allowBlank="1" showInputMessage="1" showErrorMessage="1" sqref="H16:H148" xr:uid="{486277C0-DA29-4F0C-8210-6C16BCCE2AAA}">
      <formula1>$A$6:$A$7</formula1>
    </dataValidation>
    <dataValidation type="list" allowBlank="1" showInputMessage="1" showErrorMessage="1" sqref="L16:L148" xr:uid="{11994158-428B-4361-8B44-57DA3C2DAC26}">
      <formula1>$A$2:$A$4</formula1>
    </dataValidation>
    <dataValidation type="list" allowBlank="1" showInputMessage="1" showErrorMessage="1" sqref="M16:M148" xr:uid="{A29730D2-9E14-40AA-8BBA-CA98084F38B2}">
      <formula1>$B$2:$B$4</formula1>
    </dataValidation>
    <dataValidation type="list" allowBlank="1" showInputMessage="1" showErrorMessage="1" sqref="G16:G148" xr:uid="{BA1F30C7-0692-476D-9659-7C931B959B98}">
      <formula1>$D$2:$D$11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2875E-1E34-4809-BFA6-2920BB384C10}">
  <dimension ref="A1:L117"/>
  <sheetViews>
    <sheetView workbookViewId="0">
      <selection activeCell="H15" sqref="H15"/>
    </sheetView>
  </sheetViews>
  <sheetFormatPr defaultRowHeight="15" x14ac:dyDescent="0.25"/>
  <cols>
    <col min="1" max="4" width="29.5703125" customWidth="1"/>
    <col min="5" max="6" width="10.5703125" customWidth="1"/>
    <col min="7" max="7" width="13.5703125" customWidth="1"/>
    <col min="8" max="9" width="31" customWidth="1"/>
    <col min="10" max="10" width="25.42578125" customWidth="1"/>
    <col min="11" max="11" width="31.140625" customWidth="1"/>
    <col min="12" max="12" width="32.42578125" bestFit="1" customWidth="1"/>
  </cols>
  <sheetData>
    <row r="1" spans="1:12" ht="15.75" thickBot="1" x14ac:dyDescent="0.3">
      <c r="A1" s="9" t="s">
        <v>36</v>
      </c>
      <c r="B1" s="9" t="s">
        <v>338</v>
      </c>
      <c r="C1" s="9" t="s">
        <v>751</v>
      </c>
      <c r="F1" s="5" t="s">
        <v>37</v>
      </c>
    </row>
    <row r="2" spans="1:12" ht="17.25" thickBot="1" x14ac:dyDescent="0.3">
      <c r="A2" s="1" t="s">
        <v>38</v>
      </c>
      <c r="B2" s="4" t="s">
        <v>749</v>
      </c>
      <c r="C2" s="4" t="s">
        <v>43</v>
      </c>
      <c r="F2" s="21" t="s">
        <v>893</v>
      </c>
    </row>
    <row r="3" spans="1:12" ht="17.25" thickBot="1" x14ac:dyDescent="0.3">
      <c r="A3" s="1" t="s">
        <v>39</v>
      </c>
      <c r="B3" s="4" t="s">
        <v>750</v>
      </c>
      <c r="C3" s="4" t="s">
        <v>44</v>
      </c>
      <c r="F3" s="22" t="s">
        <v>894</v>
      </c>
    </row>
    <row r="4" spans="1:12" ht="17.25" thickBot="1" x14ac:dyDescent="0.3">
      <c r="A4" s="1" t="s">
        <v>345</v>
      </c>
      <c r="B4" s="1" t="s">
        <v>345</v>
      </c>
      <c r="C4" s="4"/>
      <c r="F4" s="22" t="s">
        <v>758</v>
      </c>
    </row>
    <row r="5" spans="1:12" ht="17.25" thickBot="1" x14ac:dyDescent="0.3">
      <c r="A5" s="5" t="s">
        <v>47</v>
      </c>
      <c r="B5" s="4" t="s">
        <v>1340</v>
      </c>
      <c r="C5" s="1"/>
      <c r="F5" s="22" t="s">
        <v>759</v>
      </c>
    </row>
    <row r="6" spans="1:12" ht="17.25" thickBot="1" x14ac:dyDescent="0.3">
      <c r="A6" s="1" t="s">
        <v>339</v>
      </c>
      <c r="B6" s="4" t="s">
        <v>343</v>
      </c>
      <c r="C6" s="1"/>
      <c r="F6" s="22" t="s">
        <v>895</v>
      </c>
    </row>
    <row r="7" spans="1:12" ht="17.25" thickBot="1" x14ac:dyDescent="0.3">
      <c r="A7" s="1" t="s">
        <v>340</v>
      </c>
      <c r="B7" s="4" t="s">
        <v>344</v>
      </c>
      <c r="C7" s="1"/>
      <c r="F7" s="22" t="s">
        <v>752</v>
      </c>
    </row>
    <row r="8" spans="1:12" ht="15.75" thickBot="1" x14ac:dyDescent="0.3">
      <c r="A8" s="5" t="s">
        <v>341</v>
      </c>
      <c r="B8" s="41" t="s">
        <v>1338</v>
      </c>
      <c r="C8" s="42"/>
      <c r="F8" s="22" t="s">
        <v>896</v>
      </c>
    </row>
    <row r="9" spans="1:12" ht="15.75" thickBot="1" x14ac:dyDescent="0.3">
      <c r="A9" s="1" t="s">
        <v>53</v>
      </c>
      <c r="B9" s="1" t="s">
        <v>1334</v>
      </c>
      <c r="C9" s="1"/>
      <c r="F9" s="22" t="s">
        <v>897</v>
      </c>
    </row>
    <row r="10" spans="1:12" ht="15.75" thickBot="1" x14ac:dyDescent="0.3">
      <c r="A10" s="10" t="s">
        <v>166</v>
      </c>
      <c r="B10" s="10" t="s">
        <v>1335</v>
      </c>
      <c r="C10" s="10"/>
      <c r="F10" s="22" t="s">
        <v>898</v>
      </c>
    </row>
    <row r="11" spans="1:12" ht="15.75" thickBot="1" x14ac:dyDescent="0.3">
      <c r="A11" s="5" t="s">
        <v>346</v>
      </c>
      <c r="B11" s="41" t="s">
        <v>1339</v>
      </c>
      <c r="C11" s="43"/>
      <c r="F11" s="22" t="s">
        <v>899</v>
      </c>
    </row>
    <row r="12" spans="1:12" x14ac:dyDescent="0.25">
      <c r="A12" s="1" t="s">
        <v>645</v>
      </c>
      <c r="B12" s="1" t="s">
        <v>1336</v>
      </c>
      <c r="C12" s="1"/>
      <c r="J12" s="32"/>
    </row>
    <row r="13" spans="1:12" x14ac:dyDescent="0.25">
      <c r="A13" s="1" t="s">
        <v>644</v>
      </c>
      <c r="B13" s="1" t="s">
        <v>1337</v>
      </c>
      <c r="C13" s="1"/>
      <c r="J13" s="32"/>
    </row>
    <row r="14" spans="1:12" s="7" customFormat="1" ht="75" x14ac:dyDescent="0.25">
      <c r="A14" s="8" t="s">
        <v>84</v>
      </c>
      <c r="B14" s="40" t="s">
        <v>697</v>
      </c>
      <c r="C14" s="40"/>
      <c r="D14" s="40"/>
      <c r="E14" s="6"/>
      <c r="F14" s="6"/>
      <c r="G14" s="6"/>
      <c r="H14" s="6"/>
      <c r="I14" s="6"/>
      <c r="J14" s="6"/>
      <c r="K14" s="8" t="s">
        <v>45</v>
      </c>
      <c r="L14" s="6"/>
    </row>
    <row r="15" spans="1:12" x14ac:dyDescent="0.25">
      <c r="A15" s="5" t="s">
        <v>46</v>
      </c>
      <c r="B15" s="5" t="s">
        <v>650</v>
      </c>
      <c r="C15" s="5" t="s">
        <v>651</v>
      </c>
      <c r="D15" s="5" t="s">
        <v>346</v>
      </c>
      <c r="E15" s="5" t="s">
        <v>35</v>
      </c>
      <c r="F15" s="5" t="s">
        <v>37</v>
      </c>
      <c r="G15" s="5" t="s">
        <v>47</v>
      </c>
      <c r="H15" s="5" t="s">
        <v>754</v>
      </c>
      <c r="I15" s="5" t="s">
        <v>693</v>
      </c>
      <c r="J15" s="5" t="s">
        <v>696</v>
      </c>
      <c r="K15" s="9" t="s">
        <v>36</v>
      </c>
      <c r="L15" s="9" t="s">
        <v>338</v>
      </c>
    </row>
    <row r="16" spans="1:12" x14ac:dyDescent="0.25">
      <c r="A16" s="1" t="s">
        <v>457</v>
      </c>
      <c r="B16" s="1">
        <v>15</v>
      </c>
      <c r="C16" s="1">
        <f t="shared" ref="C16:C47" si="0">(B16/SUM(B$16:B$117))*100</f>
        <v>6.6964285714285712</v>
      </c>
      <c r="D16" s="1" t="s">
        <v>645</v>
      </c>
      <c r="E16" s="1" t="s">
        <v>1</v>
      </c>
      <c r="F16" s="1" t="str">
        <f>IF(E16="typical","Not outside the expected relevance in such a scenario or problem space","Low or no prior risk assessment is available")</f>
        <v>Not outside the expected relevance in such a scenario or problem space</v>
      </c>
      <c r="G16" s="1" t="str">
        <f>IF(AND(D16="original",E16="atypical"),"Novel","Not novel")</f>
        <v>Not novel</v>
      </c>
      <c r="H16" s="1" t="s">
        <v>999</v>
      </c>
      <c r="I16" s="1" t="s">
        <v>694</v>
      </c>
      <c r="J16" s="1" t="str">
        <f t="shared" ref="J16:J22" si="1">IF(AND(G16="Novel",I16="impactful"),"Black Swan","White Swan")</f>
        <v>White Swan</v>
      </c>
      <c r="K16" s="1" t="s">
        <v>38</v>
      </c>
      <c r="L16" s="1" t="s">
        <v>345</v>
      </c>
    </row>
    <row r="17" spans="1:12" x14ac:dyDescent="0.25">
      <c r="A17" s="1" t="s">
        <v>458</v>
      </c>
      <c r="B17" s="1">
        <v>11</v>
      </c>
      <c r="C17" s="1">
        <f t="shared" si="0"/>
        <v>4.9107142857142856</v>
      </c>
      <c r="D17" s="1" t="s">
        <v>645</v>
      </c>
      <c r="E17" s="1" t="s">
        <v>1</v>
      </c>
      <c r="F17" s="1" t="str">
        <f t="shared" ref="F17:F80" si="2">IF(E17="typical","Not outside the expected relevance in such a scenario or problem space","Low or no prior risk assessment is available")</f>
        <v>Not outside the expected relevance in such a scenario or problem space</v>
      </c>
      <c r="G17" s="1" t="str">
        <f t="shared" ref="G17:G80" si="3">IF(AND(D17="original",E17="atypical"),"Novel","Not novel")</f>
        <v>Not novel</v>
      </c>
      <c r="H17" s="1" t="s">
        <v>900</v>
      </c>
      <c r="I17" s="1" t="s">
        <v>694</v>
      </c>
      <c r="J17" s="1" t="str">
        <f t="shared" si="1"/>
        <v>White Swan</v>
      </c>
      <c r="K17" s="1" t="s">
        <v>38</v>
      </c>
      <c r="L17" s="1" t="s">
        <v>345</v>
      </c>
    </row>
    <row r="18" spans="1:12" x14ac:dyDescent="0.25">
      <c r="A18" s="1" t="s">
        <v>459</v>
      </c>
      <c r="B18" s="1">
        <v>10</v>
      </c>
      <c r="C18" s="1">
        <f t="shared" si="0"/>
        <v>4.4642857142857144</v>
      </c>
      <c r="D18" s="1" t="s">
        <v>645</v>
      </c>
      <c r="E18" s="1" t="s">
        <v>1</v>
      </c>
      <c r="F18" s="1" t="str">
        <f t="shared" si="2"/>
        <v>Not outside the expected relevance in such a scenario or problem space</v>
      </c>
      <c r="G18" s="1" t="str">
        <f t="shared" si="3"/>
        <v>Not novel</v>
      </c>
      <c r="H18" s="1" t="s">
        <v>901</v>
      </c>
      <c r="I18" s="1" t="s">
        <v>695</v>
      </c>
      <c r="J18" s="1" t="str">
        <f t="shared" si="1"/>
        <v>White Swan</v>
      </c>
      <c r="K18" s="1" t="s">
        <v>38</v>
      </c>
      <c r="L18" s="1" t="s">
        <v>345</v>
      </c>
    </row>
    <row r="19" spans="1:12" x14ac:dyDescent="0.25">
      <c r="A19" s="1" t="s">
        <v>460</v>
      </c>
      <c r="B19" s="1">
        <v>10</v>
      </c>
      <c r="C19" s="1">
        <f t="shared" si="0"/>
        <v>4.4642857142857144</v>
      </c>
      <c r="D19" s="1" t="s">
        <v>645</v>
      </c>
      <c r="E19" s="1" t="s">
        <v>1</v>
      </c>
      <c r="F19" s="1" t="str">
        <f t="shared" si="2"/>
        <v>Not outside the expected relevance in such a scenario or problem space</v>
      </c>
      <c r="G19" s="1" t="str">
        <f t="shared" si="3"/>
        <v>Not novel</v>
      </c>
      <c r="H19" s="1" t="s">
        <v>966</v>
      </c>
      <c r="I19" s="1" t="s">
        <v>694</v>
      </c>
      <c r="J19" s="1" t="str">
        <f t="shared" si="1"/>
        <v>White Swan</v>
      </c>
      <c r="K19" s="1" t="s">
        <v>38</v>
      </c>
      <c r="L19" s="1" t="s">
        <v>345</v>
      </c>
    </row>
    <row r="20" spans="1:12" x14ac:dyDescent="0.25">
      <c r="A20" s="1" t="s">
        <v>461</v>
      </c>
      <c r="B20" s="1">
        <v>7</v>
      </c>
      <c r="C20" s="1">
        <f t="shared" si="0"/>
        <v>3.125</v>
      </c>
      <c r="D20" s="1" t="s">
        <v>645</v>
      </c>
      <c r="E20" s="1" t="s">
        <v>1</v>
      </c>
      <c r="F20" s="1" t="str">
        <f t="shared" si="2"/>
        <v>Not outside the expected relevance in such a scenario or problem space</v>
      </c>
      <c r="G20" s="1" t="str">
        <f t="shared" si="3"/>
        <v>Not novel</v>
      </c>
      <c r="H20" s="1" t="s">
        <v>902</v>
      </c>
      <c r="I20" s="1" t="s">
        <v>695</v>
      </c>
      <c r="J20" s="1" t="str">
        <f t="shared" si="1"/>
        <v>White Swan</v>
      </c>
      <c r="K20" s="1" t="s">
        <v>38</v>
      </c>
      <c r="L20" s="1" t="s">
        <v>345</v>
      </c>
    </row>
    <row r="21" spans="1:12" x14ac:dyDescent="0.25">
      <c r="A21" s="1" t="s">
        <v>462</v>
      </c>
      <c r="B21" s="1">
        <v>7</v>
      </c>
      <c r="C21" s="1">
        <f t="shared" si="0"/>
        <v>3.125</v>
      </c>
      <c r="D21" s="1" t="s">
        <v>645</v>
      </c>
      <c r="E21" s="1" t="s">
        <v>1</v>
      </c>
      <c r="F21" s="1" t="str">
        <f t="shared" si="2"/>
        <v>Not outside the expected relevance in such a scenario or problem space</v>
      </c>
      <c r="G21" s="1" t="str">
        <f t="shared" si="3"/>
        <v>Not novel</v>
      </c>
      <c r="H21" s="1" t="s">
        <v>903</v>
      </c>
      <c r="I21" s="1" t="s">
        <v>694</v>
      </c>
      <c r="J21" s="1" t="str">
        <f t="shared" si="1"/>
        <v>White Swan</v>
      </c>
      <c r="K21" s="1" t="s">
        <v>38</v>
      </c>
      <c r="L21" s="1" t="s">
        <v>345</v>
      </c>
    </row>
    <row r="22" spans="1:12" x14ac:dyDescent="0.25">
      <c r="A22" s="1" t="s">
        <v>463</v>
      </c>
      <c r="B22" s="1">
        <v>6</v>
      </c>
      <c r="C22" s="1">
        <f t="shared" si="0"/>
        <v>2.6785714285714284</v>
      </c>
      <c r="D22" s="1" t="s">
        <v>645</v>
      </c>
      <c r="E22" s="1" t="s">
        <v>1</v>
      </c>
      <c r="F22" s="1" t="str">
        <f t="shared" si="2"/>
        <v>Not outside the expected relevance in such a scenario or problem space</v>
      </c>
      <c r="G22" s="1" t="str">
        <f t="shared" si="3"/>
        <v>Not novel</v>
      </c>
      <c r="H22" s="1" t="s">
        <v>904</v>
      </c>
      <c r="I22" s="1" t="s">
        <v>694</v>
      </c>
      <c r="J22" s="1" t="str">
        <f t="shared" si="1"/>
        <v>White Swan</v>
      </c>
      <c r="K22" s="1" t="s">
        <v>38</v>
      </c>
      <c r="L22" s="1" t="s">
        <v>345</v>
      </c>
    </row>
    <row r="23" spans="1:12" x14ac:dyDescent="0.25">
      <c r="A23" s="1" t="s">
        <v>464</v>
      </c>
      <c r="B23" s="1">
        <v>6</v>
      </c>
      <c r="C23" s="1">
        <f t="shared" si="0"/>
        <v>2.6785714285714284</v>
      </c>
      <c r="D23" s="1" t="s">
        <v>645</v>
      </c>
      <c r="E23" s="1" t="s">
        <v>337</v>
      </c>
      <c r="F23" s="1" t="str">
        <f t="shared" si="2"/>
        <v>Low or no prior risk assessment is available</v>
      </c>
      <c r="G23" s="1" t="str">
        <f t="shared" si="3"/>
        <v>Novel</v>
      </c>
      <c r="H23" s="1" t="s">
        <v>905</v>
      </c>
      <c r="I23" s="1" t="s">
        <v>695</v>
      </c>
      <c r="J23" s="1" t="str">
        <f>IF(AND(G23="Novel",I23="impactful"),"Black Swan","White Swan")</f>
        <v>White Swan</v>
      </c>
      <c r="K23" s="1" t="s">
        <v>38</v>
      </c>
      <c r="L23" s="1" t="s">
        <v>345</v>
      </c>
    </row>
    <row r="24" spans="1:12" x14ac:dyDescent="0.25">
      <c r="A24" s="1" t="s">
        <v>465</v>
      </c>
      <c r="B24" s="1">
        <v>6</v>
      </c>
      <c r="C24" s="1">
        <f t="shared" si="0"/>
        <v>2.6785714285714284</v>
      </c>
      <c r="D24" s="1" t="s">
        <v>645</v>
      </c>
      <c r="E24" s="1" t="s">
        <v>337</v>
      </c>
      <c r="F24" s="1" t="str">
        <f t="shared" si="2"/>
        <v>Low or no prior risk assessment is available</v>
      </c>
      <c r="G24" s="1" t="str">
        <f t="shared" si="3"/>
        <v>Novel</v>
      </c>
      <c r="H24" s="1" t="s">
        <v>906</v>
      </c>
      <c r="I24" s="1" t="s">
        <v>694</v>
      </c>
      <c r="J24" s="1" t="str">
        <f t="shared" ref="J24:J87" si="4">IF(AND(G24="Novel",I24="impactful"),"Black Swan","White Swan")</f>
        <v>Black Swan</v>
      </c>
      <c r="K24" s="1" t="s">
        <v>38</v>
      </c>
      <c r="L24" s="1" t="s">
        <v>345</v>
      </c>
    </row>
    <row r="25" spans="1:12" x14ac:dyDescent="0.25">
      <c r="A25" s="1" t="s">
        <v>466</v>
      </c>
      <c r="B25" s="1">
        <v>6</v>
      </c>
      <c r="C25" s="1">
        <f t="shared" si="0"/>
        <v>2.6785714285714284</v>
      </c>
      <c r="D25" s="1" t="s">
        <v>645</v>
      </c>
      <c r="E25" s="1" t="s">
        <v>1</v>
      </c>
      <c r="F25" s="1" t="str">
        <f t="shared" si="2"/>
        <v>Not outside the expected relevance in such a scenario or problem space</v>
      </c>
      <c r="G25" s="1" t="str">
        <f t="shared" si="3"/>
        <v>Not novel</v>
      </c>
      <c r="H25" s="1" t="s">
        <v>907</v>
      </c>
      <c r="I25" s="1" t="s">
        <v>694</v>
      </c>
      <c r="J25" s="1" t="str">
        <f t="shared" si="4"/>
        <v>White Swan</v>
      </c>
      <c r="K25" s="1" t="s">
        <v>38</v>
      </c>
      <c r="L25" s="1" t="s">
        <v>345</v>
      </c>
    </row>
    <row r="26" spans="1:12" x14ac:dyDescent="0.25">
      <c r="A26" s="1" t="s">
        <v>467</v>
      </c>
      <c r="B26" s="1">
        <v>6</v>
      </c>
      <c r="C26" s="1">
        <f t="shared" si="0"/>
        <v>2.6785714285714284</v>
      </c>
      <c r="D26" s="1" t="s">
        <v>645</v>
      </c>
      <c r="E26" s="1" t="s">
        <v>1</v>
      </c>
      <c r="F26" s="1" t="str">
        <f t="shared" si="2"/>
        <v>Not outside the expected relevance in such a scenario or problem space</v>
      </c>
      <c r="G26" s="1" t="str">
        <f t="shared" si="3"/>
        <v>Not novel</v>
      </c>
      <c r="H26" s="1" t="s">
        <v>1000</v>
      </c>
      <c r="I26" s="1" t="s">
        <v>695</v>
      </c>
      <c r="J26" s="1" t="str">
        <f t="shared" si="4"/>
        <v>White Swan</v>
      </c>
      <c r="K26" s="1" t="s">
        <v>38</v>
      </c>
      <c r="L26" s="1" t="s">
        <v>345</v>
      </c>
    </row>
    <row r="27" spans="1:12" x14ac:dyDescent="0.25">
      <c r="A27" s="1" t="s">
        <v>468</v>
      </c>
      <c r="B27" s="1">
        <v>5</v>
      </c>
      <c r="C27" s="1">
        <f t="shared" si="0"/>
        <v>2.2321428571428572</v>
      </c>
      <c r="D27" s="1" t="s">
        <v>645</v>
      </c>
      <c r="E27" s="1" t="s">
        <v>1</v>
      </c>
      <c r="F27" s="1" t="str">
        <f t="shared" si="2"/>
        <v>Not outside the expected relevance in such a scenario or problem space</v>
      </c>
      <c r="G27" s="1" t="str">
        <f t="shared" si="3"/>
        <v>Not novel</v>
      </c>
      <c r="H27" s="1" t="s">
        <v>967</v>
      </c>
      <c r="I27" s="1" t="s">
        <v>694</v>
      </c>
      <c r="J27" s="1" t="str">
        <f t="shared" si="4"/>
        <v>White Swan</v>
      </c>
      <c r="K27" s="1" t="s">
        <v>38</v>
      </c>
      <c r="L27" s="1" t="s">
        <v>345</v>
      </c>
    </row>
    <row r="28" spans="1:12" x14ac:dyDescent="0.25">
      <c r="A28" s="1" t="s">
        <v>469</v>
      </c>
      <c r="B28" s="1">
        <v>5</v>
      </c>
      <c r="C28" s="1">
        <f t="shared" si="0"/>
        <v>2.2321428571428572</v>
      </c>
      <c r="D28" s="1" t="s">
        <v>645</v>
      </c>
      <c r="E28" s="1" t="s">
        <v>337</v>
      </c>
      <c r="F28" s="1" t="str">
        <f t="shared" si="2"/>
        <v>Low or no prior risk assessment is available</v>
      </c>
      <c r="G28" s="1" t="str">
        <f t="shared" si="3"/>
        <v>Novel</v>
      </c>
      <c r="H28" s="1" t="s">
        <v>908</v>
      </c>
      <c r="I28" s="1" t="s">
        <v>695</v>
      </c>
      <c r="J28" s="1" t="str">
        <f t="shared" si="4"/>
        <v>White Swan</v>
      </c>
      <c r="K28" s="1" t="s">
        <v>38</v>
      </c>
      <c r="L28" s="1" t="s">
        <v>345</v>
      </c>
    </row>
    <row r="29" spans="1:12" x14ac:dyDescent="0.25">
      <c r="A29" s="1" t="s">
        <v>470</v>
      </c>
      <c r="B29" s="1">
        <v>5</v>
      </c>
      <c r="C29" s="1">
        <f t="shared" si="0"/>
        <v>2.2321428571428572</v>
      </c>
      <c r="D29" s="1" t="s">
        <v>645</v>
      </c>
      <c r="E29" s="1" t="s">
        <v>1</v>
      </c>
      <c r="F29" s="1" t="str">
        <f t="shared" si="2"/>
        <v>Not outside the expected relevance in such a scenario or problem space</v>
      </c>
      <c r="G29" s="1" t="str">
        <f t="shared" si="3"/>
        <v>Not novel</v>
      </c>
      <c r="H29" s="1" t="s">
        <v>909</v>
      </c>
      <c r="I29" s="1" t="s">
        <v>695</v>
      </c>
      <c r="J29" s="1" t="str">
        <f t="shared" si="4"/>
        <v>White Swan</v>
      </c>
      <c r="K29" s="1" t="s">
        <v>38</v>
      </c>
      <c r="L29" s="1" t="s">
        <v>345</v>
      </c>
    </row>
    <row r="30" spans="1:12" x14ac:dyDescent="0.25">
      <c r="A30" s="1" t="s">
        <v>471</v>
      </c>
      <c r="B30" s="1">
        <v>4</v>
      </c>
      <c r="C30" s="1">
        <f t="shared" si="0"/>
        <v>1.7857142857142856</v>
      </c>
      <c r="D30" s="1" t="s">
        <v>645</v>
      </c>
      <c r="E30" s="1" t="s">
        <v>1</v>
      </c>
      <c r="F30" s="1" t="str">
        <f t="shared" si="2"/>
        <v>Not outside the expected relevance in such a scenario or problem space</v>
      </c>
      <c r="G30" s="1" t="str">
        <f t="shared" si="3"/>
        <v>Not novel</v>
      </c>
      <c r="H30" s="1" t="s">
        <v>910</v>
      </c>
      <c r="I30" s="1" t="s">
        <v>695</v>
      </c>
      <c r="J30" s="1" t="str">
        <f t="shared" si="4"/>
        <v>White Swan</v>
      </c>
      <c r="K30" s="1" t="s">
        <v>38</v>
      </c>
      <c r="L30" s="1" t="s">
        <v>345</v>
      </c>
    </row>
    <row r="31" spans="1:12" x14ac:dyDescent="0.25">
      <c r="A31" s="1" t="s">
        <v>472</v>
      </c>
      <c r="B31" s="1">
        <v>4</v>
      </c>
      <c r="C31" s="1">
        <f t="shared" si="0"/>
        <v>1.7857142857142856</v>
      </c>
      <c r="D31" s="1" t="s">
        <v>645</v>
      </c>
      <c r="E31" s="1" t="s">
        <v>1</v>
      </c>
      <c r="F31" s="1" t="str">
        <f t="shared" si="2"/>
        <v>Not outside the expected relevance in such a scenario or problem space</v>
      </c>
      <c r="G31" s="1" t="str">
        <f t="shared" si="3"/>
        <v>Not novel</v>
      </c>
      <c r="H31" s="1" t="s">
        <v>968</v>
      </c>
      <c r="I31" s="1" t="s">
        <v>694</v>
      </c>
      <c r="J31" s="1" t="str">
        <f t="shared" si="4"/>
        <v>White Swan</v>
      </c>
      <c r="K31" s="1" t="s">
        <v>38</v>
      </c>
      <c r="L31" s="1" t="s">
        <v>345</v>
      </c>
    </row>
    <row r="32" spans="1:12" x14ac:dyDescent="0.25">
      <c r="A32" s="1" t="s">
        <v>473</v>
      </c>
      <c r="B32" s="1">
        <v>4</v>
      </c>
      <c r="C32" s="1">
        <f t="shared" si="0"/>
        <v>1.7857142857142856</v>
      </c>
      <c r="D32" s="1" t="s">
        <v>645</v>
      </c>
      <c r="E32" s="1" t="s">
        <v>1</v>
      </c>
      <c r="F32" s="1" t="str">
        <f t="shared" si="2"/>
        <v>Not outside the expected relevance in such a scenario or problem space</v>
      </c>
      <c r="G32" s="1" t="str">
        <f t="shared" si="3"/>
        <v>Not novel</v>
      </c>
      <c r="H32" s="1" t="s">
        <v>969</v>
      </c>
      <c r="I32" s="1" t="s">
        <v>694</v>
      </c>
      <c r="J32" s="1" t="str">
        <f t="shared" si="4"/>
        <v>White Swan</v>
      </c>
      <c r="K32" s="1" t="s">
        <v>38</v>
      </c>
      <c r="L32" s="1" t="s">
        <v>345</v>
      </c>
    </row>
    <row r="33" spans="1:12" x14ac:dyDescent="0.25">
      <c r="A33" s="1" t="s">
        <v>474</v>
      </c>
      <c r="B33" s="1">
        <v>3</v>
      </c>
      <c r="C33" s="1">
        <f t="shared" si="0"/>
        <v>1.3392857142857142</v>
      </c>
      <c r="D33" s="1" t="s">
        <v>645</v>
      </c>
      <c r="E33" s="1" t="s">
        <v>337</v>
      </c>
      <c r="F33" s="1" t="str">
        <f t="shared" si="2"/>
        <v>Low or no prior risk assessment is available</v>
      </c>
      <c r="G33" s="1" t="str">
        <f t="shared" si="3"/>
        <v>Novel</v>
      </c>
      <c r="H33" s="1" t="s">
        <v>970</v>
      </c>
      <c r="I33" s="1" t="s">
        <v>694</v>
      </c>
      <c r="J33" s="1" t="str">
        <f t="shared" si="4"/>
        <v>Black Swan</v>
      </c>
      <c r="K33" s="1" t="s">
        <v>38</v>
      </c>
      <c r="L33" s="1" t="s">
        <v>345</v>
      </c>
    </row>
    <row r="34" spans="1:12" x14ac:dyDescent="0.25">
      <c r="A34" s="1" t="s">
        <v>475</v>
      </c>
      <c r="B34" s="1">
        <v>3</v>
      </c>
      <c r="C34" s="1">
        <f t="shared" si="0"/>
        <v>1.3392857142857142</v>
      </c>
      <c r="D34" s="1" t="s">
        <v>645</v>
      </c>
      <c r="E34" s="1" t="s">
        <v>1</v>
      </c>
      <c r="F34" s="1" t="str">
        <f t="shared" si="2"/>
        <v>Not outside the expected relevance in such a scenario or problem space</v>
      </c>
      <c r="G34" s="1" t="str">
        <f t="shared" si="3"/>
        <v>Not novel</v>
      </c>
      <c r="H34" s="1" t="s">
        <v>911</v>
      </c>
      <c r="I34" s="1" t="s">
        <v>694</v>
      </c>
      <c r="J34" s="1" t="str">
        <f t="shared" si="4"/>
        <v>White Swan</v>
      </c>
      <c r="K34" s="1" t="s">
        <v>38</v>
      </c>
      <c r="L34" s="1" t="s">
        <v>345</v>
      </c>
    </row>
    <row r="35" spans="1:12" x14ac:dyDescent="0.25">
      <c r="A35" s="1" t="s">
        <v>476</v>
      </c>
      <c r="B35" s="1">
        <v>2</v>
      </c>
      <c r="C35" s="1">
        <f t="shared" si="0"/>
        <v>0.89285714285714279</v>
      </c>
      <c r="D35" s="1" t="s">
        <v>645</v>
      </c>
      <c r="E35" s="1" t="s">
        <v>1</v>
      </c>
      <c r="F35" s="1" t="str">
        <f t="shared" si="2"/>
        <v>Not outside the expected relevance in such a scenario or problem space</v>
      </c>
      <c r="G35" s="1" t="str">
        <f t="shared" si="3"/>
        <v>Not novel</v>
      </c>
      <c r="H35" s="1" t="s">
        <v>912</v>
      </c>
      <c r="I35" s="1" t="s">
        <v>694</v>
      </c>
      <c r="J35" s="1" t="str">
        <f t="shared" si="4"/>
        <v>White Swan</v>
      </c>
      <c r="K35" s="1" t="s">
        <v>38</v>
      </c>
      <c r="L35" s="1" t="s">
        <v>345</v>
      </c>
    </row>
    <row r="36" spans="1:12" x14ac:dyDescent="0.25">
      <c r="A36" s="1" t="s">
        <v>477</v>
      </c>
      <c r="B36" s="1">
        <v>2</v>
      </c>
      <c r="C36" s="1">
        <f t="shared" si="0"/>
        <v>0.89285714285714279</v>
      </c>
      <c r="D36" s="1" t="s">
        <v>645</v>
      </c>
      <c r="E36" s="1" t="s">
        <v>337</v>
      </c>
      <c r="F36" s="1" t="str">
        <f t="shared" si="2"/>
        <v>Low or no prior risk assessment is available</v>
      </c>
      <c r="G36" s="1" t="str">
        <f t="shared" si="3"/>
        <v>Novel</v>
      </c>
      <c r="H36" s="1" t="s">
        <v>1001</v>
      </c>
      <c r="I36" s="1" t="s">
        <v>695</v>
      </c>
      <c r="J36" s="1" t="str">
        <f t="shared" si="4"/>
        <v>White Swan</v>
      </c>
      <c r="K36" s="1" t="s">
        <v>38</v>
      </c>
      <c r="L36" s="1" t="s">
        <v>345</v>
      </c>
    </row>
    <row r="37" spans="1:12" x14ac:dyDescent="0.25">
      <c r="A37" s="1" t="s">
        <v>478</v>
      </c>
      <c r="B37" s="1">
        <v>2</v>
      </c>
      <c r="C37" s="1">
        <f t="shared" si="0"/>
        <v>0.89285714285714279</v>
      </c>
      <c r="D37" s="1" t="s">
        <v>645</v>
      </c>
      <c r="E37" s="1" t="s">
        <v>337</v>
      </c>
      <c r="F37" s="1" t="str">
        <f t="shared" si="2"/>
        <v>Low or no prior risk assessment is available</v>
      </c>
      <c r="G37" s="1" t="str">
        <f t="shared" si="3"/>
        <v>Novel</v>
      </c>
      <c r="H37" s="1" t="s">
        <v>971</v>
      </c>
      <c r="I37" s="1" t="s">
        <v>695</v>
      </c>
      <c r="J37" s="1" t="str">
        <f t="shared" si="4"/>
        <v>White Swan</v>
      </c>
      <c r="K37" s="1" t="s">
        <v>38</v>
      </c>
      <c r="L37" s="1" t="s">
        <v>345</v>
      </c>
    </row>
    <row r="38" spans="1:12" x14ac:dyDescent="0.25">
      <c r="A38" s="1" t="s">
        <v>479</v>
      </c>
      <c r="B38" s="1">
        <v>2</v>
      </c>
      <c r="C38" s="1">
        <f t="shared" si="0"/>
        <v>0.89285714285714279</v>
      </c>
      <c r="D38" s="1" t="s">
        <v>645</v>
      </c>
      <c r="E38" s="1" t="s">
        <v>337</v>
      </c>
      <c r="F38" s="1" t="str">
        <f t="shared" si="2"/>
        <v>Low or no prior risk assessment is available</v>
      </c>
      <c r="G38" s="1" t="str">
        <f t="shared" si="3"/>
        <v>Novel</v>
      </c>
      <c r="H38" s="1" t="s">
        <v>913</v>
      </c>
      <c r="I38" s="1" t="s">
        <v>695</v>
      </c>
      <c r="J38" s="1" t="str">
        <f t="shared" si="4"/>
        <v>White Swan</v>
      </c>
      <c r="K38" s="1" t="s">
        <v>38</v>
      </c>
      <c r="L38" s="1" t="s">
        <v>345</v>
      </c>
    </row>
    <row r="39" spans="1:12" x14ac:dyDescent="0.25">
      <c r="A39" s="1" t="s">
        <v>480</v>
      </c>
      <c r="B39" s="1">
        <v>2</v>
      </c>
      <c r="C39" s="1">
        <f t="shared" si="0"/>
        <v>0.89285714285714279</v>
      </c>
      <c r="D39" s="1" t="s">
        <v>645</v>
      </c>
      <c r="E39" s="1" t="s">
        <v>1</v>
      </c>
      <c r="F39" s="1" t="str">
        <f t="shared" si="2"/>
        <v>Not outside the expected relevance in such a scenario or problem space</v>
      </c>
      <c r="G39" s="1" t="str">
        <f t="shared" si="3"/>
        <v>Not novel</v>
      </c>
      <c r="H39" s="1" t="s">
        <v>914</v>
      </c>
      <c r="I39" s="1" t="s">
        <v>694</v>
      </c>
      <c r="J39" s="1" t="str">
        <f t="shared" si="4"/>
        <v>White Swan</v>
      </c>
      <c r="K39" s="1" t="s">
        <v>38</v>
      </c>
      <c r="L39" s="1" t="s">
        <v>345</v>
      </c>
    </row>
    <row r="40" spans="1:12" x14ac:dyDescent="0.25">
      <c r="A40" s="1" t="s">
        <v>481</v>
      </c>
      <c r="B40" s="1">
        <v>2</v>
      </c>
      <c r="C40" s="1">
        <f t="shared" si="0"/>
        <v>0.89285714285714279</v>
      </c>
      <c r="D40" s="1" t="s">
        <v>645</v>
      </c>
      <c r="E40" s="1" t="s">
        <v>337</v>
      </c>
      <c r="F40" s="1" t="str">
        <f t="shared" si="2"/>
        <v>Low or no prior risk assessment is available</v>
      </c>
      <c r="G40" s="1" t="str">
        <f t="shared" si="3"/>
        <v>Novel</v>
      </c>
      <c r="H40" s="1" t="s">
        <v>972</v>
      </c>
      <c r="I40" s="1" t="s">
        <v>694</v>
      </c>
      <c r="J40" s="1" t="str">
        <f t="shared" si="4"/>
        <v>Black Swan</v>
      </c>
      <c r="K40" s="1" t="s">
        <v>38</v>
      </c>
      <c r="L40" s="1" t="s">
        <v>345</v>
      </c>
    </row>
    <row r="41" spans="1:12" x14ac:dyDescent="0.25">
      <c r="A41" s="1" t="s">
        <v>482</v>
      </c>
      <c r="B41" s="1">
        <v>2</v>
      </c>
      <c r="C41" s="1">
        <f t="shared" si="0"/>
        <v>0.89285714285714279</v>
      </c>
      <c r="D41" s="1" t="s">
        <v>645</v>
      </c>
      <c r="E41" s="1" t="s">
        <v>1</v>
      </c>
      <c r="F41" s="1" t="str">
        <f t="shared" si="2"/>
        <v>Not outside the expected relevance in such a scenario or problem space</v>
      </c>
      <c r="G41" s="1" t="str">
        <f t="shared" si="3"/>
        <v>Not novel</v>
      </c>
      <c r="H41" s="1" t="s">
        <v>973</v>
      </c>
      <c r="I41" s="1" t="s">
        <v>694</v>
      </c>
      <c r="J41" s="1" t="str">
        <f t="shared" si="4"/>
        <v>White Swan</v>
      </c>
      <c r="K41" s="1" t="s">
        <v>38</v>
      </c>
      <c r="L41" s="1" t="s">
        <v>345</v>
      </c>
    </row>
    <row r="42" spans="1:12" x14ac:dyDescent="0.25">
      <c r="A42" s="1" t="s">
        <v>483</v>
      </c>
      <c r="B42" s="1">
        <v>2</v>
      </c>
      <c r="C42" s="1">
        <f t="shared" si="0"/>
        <v>0.89285714285714279</v>
      </c>
      <c r="D42" s="1" t="s">
        <v>645</v>
      </c>
      <c r="E42" s="1" t="s">
        <v>1</v>
      </c>
      <c r="F42" s="1" t="str">
        <f t="shared" si="2"/>
        <v>Not outside the expected relevance in such a scenario or problem space</v>
      </c>
      <c r="G42" s="1" t="str">
        <f t="shared" si="3"/>
        <v>Not novel</v>
      </c>
      <c r="H42" s="1" t="s">
        <v>915</v>
      </c>
      <c r="I42" s="1" t="s">
        <v>695</v>
      </c>
      <c r="J42" s="1" t="str">
        <f t="shared" si="4"/>
        <v>White Swan</v>
      </c>
      <c r="K42" s="1" t="s">
        <v>38</v>
      </c>
      <c r="L42" s="1" t="s">
        <v>345</v>
      </c>
    </row>
    <row r="43" spans="1:12" x14ac:dyDescent="0.25">
      <c r="A43" s="1" t="s">
        <v>484</v>
      </c>
      <c r="B43" s="1">
        <v>2</v>
      </c>
      <c r="C43" s="1">
        <f t="shared" si="0"/>
        <v>0.89285714285714279</v>
      </c>
      <c r="D43" s="1" t="s">
        <v>645</v>
      </c>
      <c r="E43" s="1" t="s">
        <v>1</v>
      </c>
      <c r="F43" s="1" t="str">
        <f t="shared" si="2"/>
        <v>Not outside the expected relevance in such a scenario or problem space</v>
      </c>
      <c r="G43" s="1" t="str">
        <f t="shared" si="3"/>
        <v>Not novel</v>
      </c>
      <c r="H43" s="1" t="s">
        <v>916</v>
      </c>
      <c r="I43" s="1" t="s">
        <v>695</v>
      </c>
      <c r="J43" s="1" t="str">
        <f t="shared" si="4"/>
        <v>White Swan</v>
      </c>
      <c r="K43" s="1" t="s">
        <v>38</v>
      </c>
      <c r="L43" s="1" t="s">
        <v>345</v>
      </c>
    </row>
    <row r="44" spans="1:12" x14ac:dyDescent="0.25">
      <c r="A44" s="1" t="s">
        <v>485</v>
      </c>
      <c r="B44" s="1">
        <v>2</v>
      </c>
      <c r="C44" s="1">
        <f t="shared" si="0"/>
        <v>0.89285714285714279</v>
      </c>
      <c r="D44" s="1" t="s">
        <v>645</v>
      </c>
      <c r="E44" s="1" t="s">
        <v>1</v>
      </c>
      <c r="F44" s="1" t="str">
        <f t="shared" si="2"/>
        <v>Not outside the expected relevance in such a scenario or problem space</v>
      </c>
      <c r="G44" s="1" t="str">
        <f t="shared" si="3"/>
        <v>Not novel</v>
      </c>
      <c r="H44" s="1" t="s">
        <v>917</v>
      </c>
      <c r="I44" s="1" t="s">
        <v>694</v>
      </c>
      <c r="J44" s="1" t="str">
        <f t="shared" si="4"/>
        <v>White Swan</v>
      </c>
      <c r="K44" s="1" t="s">
        <v>38</v>
      </c>
      <c r="L44" s="1" t="s">
        <v>345</v>
      </c>
    </row>
    <row r="45" spans="1:12" x14ac:dyDescent="0.25">
      <c r="A45" s="1" t="s">
        <v>486</v>
      </c>
      <c r="B45" s="1">
        <v>2</v>
      </c>
      <c r="C45" s="1">
        <f t="shared" si="0"/>
        <v>0.89285714285714279</v>
      </c>
      <c r="D45" s="1" t="s">
        <v>645</v>
      </c>
      <c r="E45" s="1" t="s">
        <v>337</v>
      </c>
      <c r="F45" s="1" t="str">
        <f t="shared" si="2"/>
        <v>Low or no prior risk assessment is available</v>
      </c>
      <c r="G45" s="1" t="str">
        <f t="shared" si="3"/>
        <v>Novel</v>
      </c>
      <c r="H45" s="1" t="s">
        <v>918</v>
      </c>
      <c r="I45" s="1" t="s">
        <v>694</v>
      </c>
      <c r="J45" s="1" t="str">
        <f t="shared" si="4"/>
        <v>Black Swan</v>
      </c>
      <c r="K45" s="1" t="s">
        <v>38</v>
      </c>
      <c r="L45" s="1" t="s">
        <v>345</v>
      </c>
    </row>
    <row r="46" spans="1:12" x14ac:dyDescent="0.25">
      <c r="A46" s="1" t="s">
        <v>487</v>
      </c>
      <c r="B46" s="1">
        <v>2</v>
      </c>
      <c r="C46" s="1">
        <f t="shared" si="0"/>
        <v>0.89285714285714279</v>
      </c>
      <c r="D46" s="1" t="s">
        <v>645</v>
      </c>
      <c r="E46" s="1" t="s">
        <v>1</v>
      </c>
      <c r="F46" s="1" t="str">
        <f t="shared" si="2"/>
        <v>Not outside the expected relevance in such a scenario or problem space</v>
      </c>
      <c r="G46" s="1" t="str">
        <f t="shared" si="3"/>
        <v>Not novel</v>
      </c>
      <c r="H46" s="1" t="s">
        <v>919</v>
      </c>
      <c r="I46" s="1" t="s">
        <v>694</v>
      </c>
      <c r="J46" s="1" t="str">
        <f t="shared" si="4"/>
        <v>White Swan</v>
      </c>
      <c r="K46" s="1" t="s">
        <v>38</v>
      </c>
      <c r="L46" s="1" t="s">
        <v>345</v>
      </c>
    </row>
    <row r="47" spans="1:12" x14ac:dyDescent="0.25">
      <c r="A47" s="1" t="s">
        <v>488</v>
      </c>
      <c r="B47" s="1">
        <v>2</v>
      </c>
      <c r="C47" s="1">
        <f t="shared" si="0"/>
        <v>0.89285714285714279</v>
      </c>
      <c r="D47" s="1" t="s">
        <v>645</v>
      </c>
      <c r="E47" s="1" t="s">
        <v>337</v>
      </c>
      <c r="F47" s="1" t="str">
        <f t="shared" si="2"/>
        <v>Low or no prior risk assessment is available</v>
      </c>
      <c r="G47" s="1" t="str">
        <f t="shared" si="3"/>
        <v>Novel</v>
      </c>
      <c r="H47" s="1" t="s">
        <v>974</v>
      </c>
      <c r="I47" s="1" t="s">
        <v>694</v>
      </c>
      <c r="J47" s="1" t="str">
        <f t="shared" si="4"/>
        <v>Black Swan</v>
      </c>
      <c r="K47" s="1" t="s">
        <v>38</v>
      </c>
      <c r="L47" s="1" t="s">
        <v>345</v>
      </c>
    </row>
    <row r="48" spans="1:12" x14ac:dyDescent="0.25">
      <c r="A48" s="1" t="s">
        <v>489</v>
      </c>
      <c r="B48" s="1">
        <v>2</v>
      </c>
      <c r="C48" s="1">
        <f t="shared" ref="C48:C79" si="5">(B48/SUM(B$16:B$117))*100</f>
        <v>0.89285714285714279</v>
      </c>
      <c r="D48" s="1" t="s">
        <v>645</v>
      </c>
      <c r="E48" s="1" t="s">
        <v>1</v>
      </c>
      <c r="F48" s="1" t="str">
        <f t="shared" si="2"/>
        <v>Not outside the expected relevance in such a scenario or problem space</v>
      </c>
      <c r="G48" s="1" t="str">
        <f t="shared" si="3"/>
        <v>Not novel</v>
      </c>
      <c r="H48" s="1" t="s">
        <v>920</v>
      </c>
      <c r="I48" s="1" t="s">
        <v>695</v>
      </c>
      <c r="J48" s="1" t="str">
        <f t="shared" si="4"/>
        <v>White Swan</v>
      </c>
      <c r="K48" s="1" t="s">
        <v>38</v>
      </c>
      <c r="L48" s="1" t="s">
        <v>345</v>
      </c>
    </row>
    <row r="49" spans="1:12" x14ac:dyDescent="0.25">
      <c r="A49" s="1" t="s">
        <v>490</v>
      </c>
      <c r="B49" s="1">
        <v>2</v>
      </c>
      <c r="C49" s="1">
        <f t="shared" si="5"/>
        <v>0.89285714285714279</v>
      </c>
      <c r="D49" s="1" t="s">
        <v>645</v>
      </c>
      <c r="E49" s="1" t="s">
        <v>1</v>
      </c>
      <c r="F49" s="1" t="str">
        <f t="shared" si="2"/>
        <v>Not outside the expected relevance in such a scenario or problem space</v>
      </c>
      <c r="G49" s="1" t="str">
        <f t="shared" si="3"/>
        <v>Not novel</v>
      </c>
      <c r="H49" s="1" t="s">
        <v>921</v>
      </c>
      <c r="I49" s="1" t="s">
        <v>695</v>
      </c>
      <c r="J49" s="1" t="str">
        <f t="shared" si="4"/>
        <v>White Swan</v>
      </c>
      <c r="K49" s="1" t="s">
        <v>38</v>
      </c>
      <c r="L49" s="1" t="s">
        <v>345</v>
      </c>
    </row>
    <row r="50" spans="1:12" x14ac:dyDescent="0.25">
      <c r="A50" s="1" t="s">
        <v>234</v>
      </c>
      <c r="B50" s="1">
        <v>2</v>
      </c>
      <c r="C50" s="1">
        <f t="shared" si="5"/>
        <v>0.89285714285714279</v>
      </c>
      <c r="D50" s="1" t="s">
        <v>645</v>
      </c>
      <c r="E50" s="1" t="s">
        <v>1</v>
      </c>
      <c r="F50" s="1" t="str">
        <f t="shared" si="2"/>
        <v>Not outside the expected relevance in such a scenario or problem space</v>
      </c>
      <c r="G50" s="1" t="str">
        <f t="shared" si="3"/>
        <v>Not novel</v>
      </c>
      <c r="H50" s="1" t="s">
        <v>922</v>
      </c>
      <c r="I50" s="1" t="s">
        <v>694</v>
      </c>
      <c r="J50" s="1" t="str">
        <f t="shared" si="4"/>
        <v>White Swan</v>
      </c>
      <c r="K50" s="1" t="s">
        <v>38</v>
      </c>
      <c r="L50" s="1" t="s">
        <v>345</v>
      </c>
    </row>
    <row r="51" spans="1:12" x14ac:dyDescent="0.25">
      <c r="A51" s="1" t="s">
        <v>491</v>
      </c>
      <c r="B51" s="1">
        <v>2</v>
      </c>
      <c r="C51" s="1">
        <f t="shared" si="5"/>
        <v>0.89285714285714279</v>
      </c>
      <c r="D51" s="1" t="s">
        <v>645</v>
      </c>
      <c r="E51" s="1" t="s">
        <v>337</v>
      </c>
      <c r="F51" s="1" t="str">
        <f t="shared" si="2"/>
        <v>Low or no prior risk assessment is available</v>
      </c>
      <c r="G51" s="1" t="str">
        <f t="shared" si="3"/>
        <v>Novel</v>
      </c>
      <c r="H51" s="1" t="s">
        <v>975</v>
      </c>
      <c r="I51" s="1" t="s">
        <v>694</v>
      </c>
      <c r="J51" s="1" t="str">
        <f t="shared" si="4"/>
        <v>Black Swan</v>
      </c>
      <c r="K51" s="1" t="s">
        <v>38</v>
      </c>
      <c r="L51" s="1" t="s">
        <v>345</v>
      </c>
    </row>
    <row r="52" spans="1:12" x14ac:dyDescent="0.25">
      <c r="A52" s="1" t="s">
        <v>492</v>
      </c>
      <c r="B52" s="1">
        <v>2</v>
      </c>
      <c r="C52" s="1">
        <f t="shared" si="5"/>
        <v>0.89285714285714279</v>
      </c>
      <c r="D52" s="1" t="s">
        <v>645</v>
      </c>
      <c r="E52" s="1" t="s">
        <v>1</v>
      </c>
      <c r="F52" s="1" t="str">
        <f t="shared" si="2"/>
        <v>Not outside the expected relevance in such a scenario or problem space</v>
      </c>
      <c r="G52" s="1" t="str">
        <f t="shared" si="3"/>
        <v>Not novel</v>
      </c>
      <c r="H52" s="1" t="s">
        <v>923</v>
      </c>
      <c r="I52" s="1" t="s">
        <v>694</v>
      </c>
      <c r="J52" s="1" t="str">
        <f t="shared" si="4"/>
        <v>White Swan</v>
      </c>
      <c r="K52" s="1" t="s">
        <v>38</v>
      </c>
      <c r="L52" s="1" t="s">
        <v>345</v>
      </c>
    </row>
    <row r="53" spans="1:12" x14ac:dyDescent="0.25">
      <c r="A53" s="1" t="s">
        <v>493</v>
      </c>
      <c r="B53" s="1">
        <v>1</v>
      </c>
      <c r="C53" s="1">
        <f t="shared" si="5"/>
        <v>0.4464285714285714</v>
      </c>
      <c r="D53" s="1" t="s">
        <v>645</v>
      </c>
      <c r="E53" s="1" t="s">
        <v>1</v>
      </c>
      <c r="F53" s="1" t="str">
        <f t="shared" si="2"/>
        <v>Not outside the expected relevance in such a scenario or problem space</v>
      </c>
      <c r="G53" s="1" t="str">
        <f t="shared" si="3"/>
        <v>Not novel</v>
      </c>
      <c r="H53" s="1" t="s">
        <v>924</v>
      </c>
      <c r="I53" s="1" t="s">
        <v>694</v>
      </c>
      <c r="J53" s="1" t="str">
        <f t="shared" si="4"/>
        <v>White Swan</v>
      </c>
      <c r="K53" s="1" t="s">
        <v>38</v>
      </c>
      <c r="L53" s="1" t="s">
        <v>345</v>
      </c>
    </row>
    <row r="54" spans="1:12" x14ac:dyDescent="0.25">
      <c r="A54" s="1" t="s">
        <v>494</v>
      </c>
      <c r="B54" s="1">
        <v>1</v>
      </c>
      <c r="C54" s="1">
        <f t="shared" si="5"/>
        <v>0.4464285714285714</v>
      </c>
      <c r="D54" s="1" t="s">
        <v>645</v>
      </c>
      <c r="E54" s="1" t="s">
        <v>1</v>
      </c>
      <c r="F54" s="1" t="str">
        <f t="shared" si="2"/>
        <v>Not outside the expected relevance in such a scenario or problem space</v>
      </c>
      <c r="G54" s="1" t="str">
        <f t="shared" si="3"/>
        <v>Not novel</v>
      </c>
      <c r="H54" s="1" t="s">
        <v>925</v>
      </c>
      <c r="I54" s="1" t="s">
        <v>694</v>
      </c>
      <c r="J54" s="1" t="str">
        <f t="shared" si="4"/>
        <v>White Swan</v>
      </c>
      <c r="K54" s="1" t="s">
        <v>38</v>
      </c>
      <c r="L54" s="1" t="s">
        <v>345</v>
      </c>
    </row>
    <row r="55" spans="1:12" x14ac:dyDescent="0.25">
      <c r="A55" s="1" t="s">
        <v>495</v>
      </c>
      <c r="B55" s="1">
        <v>1</v>
      </c>
      <c r="C55" s="1">
        <f t="shared" si="5"/>
        <v>0.4464285714285714</v>
      </c>
      <c r="D55" s="1" t="s">
        <v>645</v>
      </c>
      <c r="E55" s="1" t="s">
        <v>1</v>
      </c>
      <c r="F55" s="1" t="str">
        <f t="shared" si="2"/>
        <v>Not outside the expected relevance in such a scenario or problem space</v>
      </c>
      <c r="G55" s="1" t="str">
        <f t="shared" si="3"/>
        <v>Not novel</v>
      </c>
      <c r="H55" s="1" t="s">
        <v>976</v>
      </c>
      <c r="I55" s="1" t="s">
        <v>694</v>
      </c>
      <c r="J55" s="1" t="str">
        <f t="shared" si="4"/>
        <v>White Swan</v>
      </c>
      <c r="K55" s="1" t="s">
        <v>38</v>
      </c>
      <c r="L55" s="1" t="s">
        <v>345</v>
      </c>
    </row>
    <row r="56" spans="1:12" x14ac:dyDescent="0.25">
      <c r="A56" s="1" t="s">
        <v>496</v>
      </c>
      <c r="B56" s="1">
        <v>1</v>
      </c>
      <c r="C56" s="1">
        <f t="shared" si="5"/>
        <v>0.4464285714285714</v>
      </c>
      <c r="D56" s="1" t="s">
        <v>645</v>
      </c>
      <c r="E56" s="1" t="s">
        <v>1</v>
      </c>
      <c r="F56" s="1" t="str">
        <f t="shared" si="2"/>
        <v>Not outside the expected relevance in such a scenario or problem space</v>
      </c>
      <c r="G56" s="1" t="str">
        <f t="shared" si="3"/>
        <v>Not novel</v>
      </c>
      <c r="H56" s="1" t="s">
        <v>977</v>
      </c>
      <c r="I56" s="1" t="s">
        <v>694</v>
      </c>
      <c r="J56" s="1" t="str">
        <f t="shared" si="4"/>
        <v>White Swan</v>
      </c>
      <c r="K56" s="1" t="s">
        <v>38</v>
      </c>
      <c r="L56" s="1" t="s">
        <v>345</v>
      </c>
    </row>
    <row r="57" spans="1:12" x14ac:dyDescent="0.25">
      <c r="A57" s="1" t="s">
        <v>497</v>
      </c>
      <c r="B57" s="1">
        <v>1</v>
      </c>
      <c r="C57" s="1">
        <f t="shared" si="5"/>
        <v>0.4464285714285714</v>
      </c>
      <c r="D57" s="1" t="s">
        <v>645</v>
      </c>
      <c r="E57" s="1" t="s">
        <v>1</v>
      </c>
      <c r="F57" s="1" t="str">
        <f t="shared" si="2"/>
        <v>Not outside the expected relevance in such a scenario or problem space</v>
      </c>
      <c r="G57" s="1" t="str">
        <f t="shared" si="3"/>
        <v>Not novel</v>
      </c>
      <c r="H57" s="1" t="s">
        <v>978</v>
      </c>
      <c r="I57" s="1" t="s">
        <v>695</v>
      </c>
      <c r="J57" s="1" t="str">
        <f t="shared" si="4"/>
        <v>White Swan</v>
      </c>
      <c r="K57" s="1" t="s">
        <v>38</v>
      </c>
      <c r="L57" s="1" t="s">
        <v>345</v>
      </c>
    </row>
    <row r="58" spans="1:12" x14ac:dyDescent="0.25">
      <c r="A58" s="1" t="s">
        <v>498</v>
      </c>
      <c r="B58" s="1">
        <v>1</v>
      </c>
      <c r="C58" s="1">
        <f t="shared" si="5"/>
        <v>0.4464285714285714</v>
      </c>
      <c r="D58" s="1" t="s">
        <v>645</v>
      </c>
      <c r="E58" s="1" t="s">
        <v>1</v>
      </c>
      <c r="F58" s="1" t="str">
        <f t="shared" si="2"/>
        <v>Not outside the expected relevance in such a scenario or problem space</v>
      </c>
      <c r="G58" s="1" t="str">
        <f t="shared" si="3"/>
        <v>Not novel</v>
      </c>
      <c r="H58" s="1" t="s">
        <v>979</v>
      </c>
      <c r="I58" s="1" t="s">
        <v>695</v>
      </c>
      <c r="J58" s="1" t="str">
        <f t="shared" si="4"/>
        <v>White Swan</v>
      </c>
      <c r="K58" s="1" t="s">
        <v>38</v>
      </c>
      <c r="L58" s="1" t="s">
        <v>345</v>
      </c>
    </row>
    <row r="59" spans="1:12" x14ac:dyDescent="0.25">
      <c r="A59" s="1" t="s">
        <v>499</v>
      </c>
      <c r="B59" s="1">
        <v>1</v>
      </c>
      <c r="C59" s="1">
        <f t="shared" si="5"/>
        <v>0.4464285714285714</v>
      </c>
      <c r="D59" s="1" t="s">
        <v>645</v>
      </c>
      <c r="E59" s="1" t="s">
        <v>1</v>
      </c>
      <c r="F59" s="1" t="str">
        <f t="shared" si="2"/>
        <v>Not outside the expected relevance in such a scenario or problem space</v>
      </c>
      <c r="G59" s="1" t="str">
        <f t="shared" si="3"/>
        <v>Not novel</v>
      </c>
      <c r="H59" s="1" t="s">
        <v>926</v>
      </c>
      <c r="I59" s="1" t="s">
        <v>695</v>
      </c>
      <c r="J59" s="1" t="str">
        <f t="shared" si="4"/>
        <v>White Swan</v>
      </c>
      <c r="K59" s="1" t="s">
        <v>38</v>
      </c>
      <c r="L59" s="1" t="s">
        <v>345</v>
      </c>
    </row>
    <row r="60" spans="1:12" x14ac:dyDescent="0.25">
      <c r="A60" s="1" t="s">
        <v>500</v>
      </c>
      <c r="B60" s="1">
        <v>1</v>
      </c>
      <c r="C60" s="1">
        <f t="shared" si="5"/>
        <v>0.4464285714285714</v>
      </c>
      <c r="D60" s="1" t="s">
        <v>645</v>
      </c>
      <c r="E60" s="1" t="s">
        <v>1</v>
      </c>
      <c r="F60" s="1" t="str">
        <f t="shared" si="2"/>
        <v>Not outside the expected relevance in such a scenario or problem space</v>
      </c>
      <c r="G60" s="1" t="str">
        <f t="shared" si="3"/>
        <v>Not novel</v>
      </c>
      <c r="H60" s="1" t="s">
        <v>980</v>
      </c>
      <c r="I60" s="1" t="s">
        <v>694</v>
      </c>
      <c r="J60" s="1" t="str">
        <f t="shared" si="4"/>
        <v>White Swan</v>
      </c>
      <c r="K60" s="1" t="s">
        <v>38</v>
      </c>
      <c r="L60" s="1" t="s">
        <v>345</v>
      </c>
    </row>
    <row r="61" spans="1:12" x14ac:dyDescent="0.25">
      <c r="A61" s="1" t="s">
        <v>501</v>
      </c>
      <c r="B61" s="1">
        <v>1</v>
      </c>
      <c r="C61" s="1">
        <f t="shared" si="5"/>
        <v>0.4464285714285714</v>
      </c>
      <c r="D61" s="1" t="s">
        <v>645</v>
      </c>
      <c r="E61" s="1" t="s">
        <v>1</v>
      </c>
      <c r="F61" s="1" t="str">
        <f t="shared" si="2"/>
        <v>Not outside the expected relevance in such a scenario or problem space</v>
      </c>
      <c r="G61" s="1" t="str">
        <f t="shared" si="3"/>
        <v>Not novel</v>
      </c>
      <c r="H61" s="1" t="s">
        <v>981</v>
      </c>
      <c r="I61" s="1" t="s">
        <v>694</v>
      </c>
      <c r="J61" s="1" t="str">
        <f t="shared" si="4"/>
        <v>White Swan</v>
      </c>
      <c r="K61" s="1" t="s">
        <v>38</v>
      </c>
      <c r="L61" s="1" t="s">
        <v>345</v>
      </c>
    </row>
    <row r="62" spans="1:12" x14ac:dyDescent="0.25">
      <c r="A62" s="1" t="s">
        <v>502</v>
      </c>
      <c r="B62" s="1">
        <v>1</v>
      </c>
      <c r="C62" s="1">
        <f t="shared" si="5"/>
        <v>0.4464285714285714</v>
      </c>
      <c r="D62" s="1" t="s">
        <v>645</v>
      </c>
      <c r="E62" s="1" t="s">
        <v>1</v>
      </c>
      <c r="F62" s="1" t="str">
        <f t="shared" si="2"/>
        <v>Not outside the expected relevance in such a scenario or problem space</v>
      </c>
      <c r="G62" s="1" t="str">
        <f t="shared" si="3"/>
        <v>Not novel</v>
      </c>
      <c r="H62" s="1" t="s">
        <v>927</v>
      </c>
      <c r="I62" s="1" t="s">
        <v>694</v>
      </c>
      <c r="J62" s="1" t="str">
        <f t="shared" si="4"/>
        <v>White Swan</v>
      </c>
      <c r="K62" s="1" t="s">
        <v>38</v>
      </c>
      <c r="L62" s="1" t="s">
        <v>345</v>
      </c>
    </row>
    <row r="63" spans="1:12" x14ac:dyDescent="0.25">
      <c r="A63" s="1" t="s">
        <v>503</v>
      </c>
      <c r="B63" s="1">
        <v>1</v>
      </c>
      <c r="C63" s="1">
        <f t="shared" si="5"/>
        <v>0.4464285714285714</v>
      </c>
      <c r="D63" s="1" t="s">
        <v>645</v>
      </c>
      <c r="E63" s="1" t="s">
        <v>1</v>
      </c>
      <c r="F63" s="1" t="str">
        <f t="shared" si="2"/>
        <v>Not outside the expected relevance in such a scenario or problem space</v>
      </c>
      <c r="G63" s="1" t="str">
        <f t="shared" si="3"/>
        <v>Not novel</v>
      </c>
      <c r="H63" s="1" t="s">
        <v>928</v>
      </c>
      <c r="I63" s="1" t="s">
        <v>694</v>
      </c>
      <c r="J63" s="1" t="str">
        <f t="shared" si="4"/>
        <v>White Swan</v>
      </c>
      <c r="K63" s="1" t="s">
        <v>38</v>
      </c>
      <c r="L63" s="1" t="s">
        <v>345</v>
      </c>
    </row>
    <row r="64" spans="1:12" x14ac:dyDescent="0.25">
      <c r="A64" s="1" t="s">
        <v>504</v>
      </c>
      <c r="B64" s="1">
        <v>1</v>
      </c>
      <c r="C64" s="1">
        <f t="shared" si="5"/>
        <v>0.4464285714285714</v>
      </c>
      <c r="D64" s="1" t="s">
        <v>645</v>
      </c>
      <c r="E64" s="1" t="s">
        <v>1</v>
      </c>
      <c r="F64" s="1" t="str">
        <f t="shared" si="2"/>
        <v>Not outside the expected relevance in such a scenario or problem space</v>
      </c>
      <c r="G64" s="1" t="str">
        <f t="shared" si="3"/>
        <v>Not novel</v>
      </c>
      <c r="H64" s="1" t="s">
        <v>982</v>
      </c>
      <c r="I64" s="1" t="s">
        <v>694</v>
      </c>
      <c r="J64" s="1" t="str">
        <f t="shared" si="4"/>
        <v>White Swan</v>
      </c>
      <c r="K64" s="1" t="s">
        <v>38</v>
      </c>
      <c r="L64" s="1" t="s">
        <v>345</v>
      </c>
    </row>
    <row r="65" spans="1:12" x14ac:dyDescent="0.25">
      <c r="A65" s="1" t="s">
        <v>505</v>
      </c>
      <c r="B65" s="1">
        <v>1</v>
      </c>
      <c r="C65" s="1">
        <f t="shared" si="5"/>
        <v>0.4464285714285714</v>
      </c>
      <c r="D65" s="1" t="s">
        <v>645</v>
      </c>
      <c r="E65" s="1" t="s">
        <v>337</v>
      </c>
      <c r="F65" s="1" t="str">
        <f t="shared" si="2"/>
        <v>Low or no prior risk assessment is available</v>
      </c>
      <c r="G65" s="1" t="str">
        <f t="shared" si="3"/>
        <v>Novel</v>
      </c>
      <c r="H65" s="1" t="s">
        <v>929</v>
      </c>
      <c r="I65" s="1" t="s">
        <v>694</v>
      </c>
      <c r="J65" s="1" t="str">
        <f t="shared" si="4"/>
        <v>Black Swan</v>
      </c>
      <c r="K65" s="1" t="s">
        <v>38</v>
      </c>
      <c r="L65" s="1" t="s">
        <v>345</v>
      </c>
    </row>
    <row r="66" spans="1:12" x14ac:dyDescent="0.25">
      <c r="A66" s="1" t="s">
        <v>506</v>
      </c>
      <c r="B66" s="1">
        <v>1</v>
      </c>
      <c r="C66" s="1">
        <f t="shared" si="5"/>
        <v>0.4464285714285714</v>
      </c>
      <c r="D66" s="1" t="s">
        <v>645</v>
      </c>
      <c r="E66" s="1" t="s">
        <v>337</v>
      </c>
      <c r="F66" s="1" t="str">
        <f t="shared" si="2"/>
        <v>Low or no prior risk assessment is available</v>
      </c>
      <c r="G66" s="1" t="str">
        <f t="shared" si="3"/>
        <v>Novel</v>
      </c>
      <c r="H66" s="1" t="s">
        <v>930</v>
      </c>
      <c r="I66" s="1" t="s">
        <v>695</v>
      </c>
      <c r="J66" s="1" t="str">
        <f t="shared" si="4"/>
        <v>White Swan</v>
      </c>
      <c r="K66" s="1" t="s">
        <v>38</v>
      </c>
      <c r="L66" s="1" t="s">
        <v>345</v>
      </c>
    </row>
    <row r="67" spans="1:12" x14ac:dyDescent="0.25">
      <c r="A67" s="13" t="s">
        <v>507</v>
      </c>
      <c r="B67" s="13">
        <v>1</v>
      </c>
      <c r="C67" s="1">
        <f t="shared" si="5"/>
        <v>0.4464285714285714</v>
      </c>
      <c r="D67" s="1" t="s">
        <v>645</v>
      </c>
      <c r="E67" s="13" t="s">
        <v>337</v>
      </c>
      <c r="F67" s="1" t="str">
        <f t="shared" si="2"/>
        <v>Low or no prior risk assessment is available</v>
      </c>
      <c r="G67" s="1" t="str">
        <f t="shared" si="3"/>
        <v>Novel</v>
      </c>
      <c r="H67" s="13" t="s">
        <v>931</v>
      </c>
      <c r="I67" s="13" t="s">
        <v>695</v>
      </c>
      <c r="J67" s="1" t="str">
        <f t="shared" si="4"/>
        <v>White Swan</v>
      </c>
      <c r="K67" s="1" t="s">
        <v>38</v>
      </c>
      <c r="L67" s="1" t="s">
        <v>345</v>
      </c>
    </row>
    <row r="68" spans="1:12" x14ac:dyDescent="0.25">
      <c r="A68" s="1" t="s">
        <v>508</v>
      </c>
      <c r="B68" s="1">
        <v>1</v>
      </c>
      <c r="C68" s="1">
        <f t="shared" si="5"/>
        <v>0.4464285714285714</v>
      </c>
      <c r="D68" s="1" t="s">
        <v>645</v>
      </c>
      <c r="E68" s="1" t="s">
        <v>337</v>
      </c>
      <c r="F68" s="1" t="str">
        <f t="shared" si="2"/>
        <v>Low or no prior risk assessment is available</v>
      </c>
      <c r="G68" s="1" t="str">
        <f t="shared" si="3"/>
        <v>Novel</v>
      </c>
      <c r="H68" s="1" t="s">
        <v>932</v>
      </c>
      <c r="I68" s="1" t="s">
        <v>694</v>
      </c>
      <c r="J68" s="1" t="str">
        <f t="shared" si="4"/>
        <v>Black Swan</v>
      </c>
      <c r="K68" s="1" t="s">
        <v>38</v>
      </c>
      <c r="L68" s="1" t="s">
        <v>345</v>
      </c>
    </row>
    <row r="69" spans="1:12" x14ac:dyDescent="0.25">
      <c r="A69" s="13" t="s">
        <v>509</v>
      </c>
      <c r="B69" s="13">
        <v>1</v>
      </c>
      <c r="C69" s="1">
        <f t="shared" si="5"/>
        <v>0.4464285714285714</v>
      </c>
      <c r="D69" s="1" t="s">
        <v>645</v>
      </c>
      <c r="E69" s="12" t="s">
        <v>1</v>
      </c>
      <c r="F69" s="1" t="str">
        <f t="shared" si="2"/>
        <v>Not outside the expected relevance in such a scenario or problem space</v>
      </c>
      <c r="G69" s="1" t="str">
        <f t="shared" si="3"/>
        <v>Not novel</v>
      </c>
      <c r="H69" s="1" t="s">
        <v>933</v>
      </c>
      <c r="I69" s="1" t="s">
        <v>694</v>
      </c>
      <c r="J69" s="1" t="str">
        <f t="shared" si="4"/>
        <v>White Swan</v>
      </c>
      <c r="K69" s="1" t="s">
        <v>38</v>
      </c>
      <c r="L69" s="1" t="s">
        <v>345</v>
      </c>
    </row>
    <row r="70" spans="1:12" x14ac:dyDescent="0.25">
      <c r="A70" s="1" t="s">
        <v>510</v>
      </c>
      <c r="B70" s="1">
        <v>1</v>
      </c>
      <c r="C70" s="1">
        <f t="shared" si="5"/>
        <v>0.4464285714285714</v>
      </c>
      <c r="D70" s="1" t="s">
        <v>645</v>
      </c>
      <c r="E70" s="1" t="s">
        <v>1</v>
      </c>
      <c r="F70" s="1" t="str">
        <f t="shared" si="2"/>
        <v>Not outside the expected relevance in such a scenario or problem space</v>
      </c>
      <c r="G70" s="1" t="str">
        <f t="shared" si="3"/>
        <v>Not novel</v>
      </c>
      <c r="H70" s="1" t="s">
        <v>934</v>
      </c>
      <c r="I70" s="1" t="s">
        <v>694</v>
      </c>
      <c r="J70" s="1" t="str">
        <f t="shared" si="4"/>
        <v>White Swan</v>
      </c>
      <c r="K70" s="1" t="s">
        <v>38</v>
      </c>
      <c r="L70" s="1" t="s">
        <v>345</v>
      </c>
    </row>
    <row r="71" spans="1:12" x14ac:dyDescent="0.25">
      <c r="A71" s="1" t="s">
        <v>511</v>
      </c>
      <c r="B71" s="1">
        <v>1</v>
      </c>
      <c r="C71" s="1">
        <f t="shared" si="5"/>
        <v>0.4464285714285714</v>
      </c>
      <c r="D71" s="1" t="s">
        <v>645</v>
      </c>
      <c r="E71" s="1" t="s">
        <v>337</v>
      </c>
      <c r="F71" s="1" t="str">
        <f t="shared" si="2"/>
        <v>Low or no prior risk assessment is available</v>
      </c>
      <c r="G71" s="1" t="str">
        <f t="shared" si="3"/>
        <v>Novel</v>
      </c>
      <c r="H71" s="1" t="s">
        <v>935</v>
      </c>
      <c r="I71" s="1" t="s">
        <v>694</v>
      </c>
      <c r="J71" s="1" t="str">
        <f t="shared" si="4"/>
        <v>Black Swan</v>
      </c>
      <c r="K71" s="1" t="s">
        <v>38</v>
      </c>
      <c r="L71" s="1" t="s">
        <v>345</v>
      </c>
    </row>
    <row r="72" spans="1:12" x14ac:dyDescent="0.25">
      <c r="A72" s="1" t="s">
        <v>512</v>
      </c>
      <c r="B72" s="1">
        <v>1</v>
      </c>
      <c r="C72" s="1">
        <f t="shared" si="5"/>
        <v>0.4464285714285714</v>
      </c>
      <c r="D72" s="1" t="s">
        <v>645</v>
      </c>
      <c r="E72" s="1" t="s">
        <v>1</v>
      </c>
      <c r="F72" s="1" t="str">
        <f t="shared" si="2"/>
        <v>Not outside the expected relevance in such a scenario or problem space</v>
      </c>
      <c r="G72" s="1" t="str">
        <f t="shared" si="3"/>
        <v>Not novel</v>
      </c>
      <c r="H72" s="1" t="s">
        <v>983</v>
      </c>
      <c r="I72" s="1" t="s">
        <v>694</v>
      </c>
      <c r="J72" s="1" t="str">
        <f t="shared" si="4"/>
        <v>White Swan</v>
      </c>
      <c r="K72" s="1" t="s">
        <v>38</v>
      </c>
      <c r="L72" s="1" t="s">
        <v>345</v>
      </c>
    </row>
    <row r="73" spans="1:12" x14ac:dyDescent="0.25">
      <c r="A73" s="13" t="s">
        <v>513</v>
      </c>
      <c r="B73" s="13">
        <v>1</v>
      </c>
      <c r="C73" s="1">
        <f t="shared" si="5"/>
        <v>0.4464285714285714</v>
      </c>
      <c r="D73" s="1" t="s">
        <v>645</v>
      </c>
      <c r="E73" s="13" t="s">
        <v>1</v>
      </c>
      <c r="F73" s="1" t="str">
        <f t="shared" si="2"/>
        <v>Not outside the expected relevance in such a scenario or problem space</v>
      </c>
      <c r="G73" s="1" t="str">
        <f t="shared" si="3"/>
        <v>Not novel</v>
      </c>
      <c r="H73" s="13" t="s">
        <v>984</v>
      </c>
      <c r="I73" s="13" t="s">
        <v>695</v>
      </c>
      <c r="J73" s="1" t="str">
        <f t="shared" si="4"/>
        <v>White Swan</v>
      </c>
      <c r="K73" s="1" t="s">
        <v>38</v>
      </c>
      <c r="L73" s="1" t="s">
        <v>345</v>
      </c>
    </row>
    <row r="74" spans="1:12" x14ac:dyDescent="0.25">
      <c r="A74" s="13" t="s">
        <v>514</v>
      </c>
      <c r="B74" s="13">
        <v>1</v>
      </c>
      <c r="C74" s="1">
        <f t="shared" si="5"/>
        <v>0.4464285714285714</v>
      </c>
      <c r="D74" s="1" t="s">
        <v>645</v>
      </c>
      <c r="E74" s="13" t="s">
        <v>1</v>
      </c>
      <c r="F74" s="1" t="str">
        <f t="shared" si="2"/>
        <v>Not outside the expected relevance in such a scenario or problem space</v>
      </c>
      <c r="G74" s="1" t="str">
        <f t="shared" si="3"/>
        <v>Not novel</v>
      </c>
      <c r="H74" s="13" t="s">
        <v>936</v>
      </c>
      <c r="I74" s="13" t="s">
        <v>695</v>
      </c>
      <c r="J74" s="1" t="str">
        <f t="shared" si="4"/>
        <v>White Swan</v>
      </c>
      <c r="K74" s="1" t="s">
        <v>38</v>
      </c>
      <c r="L74" s="1" t="s">
        <v>345</v>
      </c>
    </row>
    <row r="75" spans="1:12" x14ac:dyDescent="0.25">
      <c r="A75" s="13" t="s">
        <v>515</v>
      </c>
      <c r="B75" s="13">
        <v>1</v>
      </c>
      <c r="C75" s="1">
        <f t="shared" si="5"/>
        <v>0.4464285714285714</v>
      </c>
      <c r="D75" s="1" t="s">
        <v>645</v>
      </c>
      <c r="E75" s="13" t="s">
        <v>1</v>
      </c>
      <c r="F75" s="1" t="str">
        <f t="shared" si="2"/>
        <v>Not outside the expected relevance in such a scenario or problem space</v>
      </c>
      <c r="G75" s="1" t="str">
        <f t="shared" si="3"/>
        <v>Not novel</v>
      </c>
      <c r="H75" s="13" t="s">
        <v>937</v>
      </c>
      <c r="I75" s="13" t="s">
        <v>694</v>
      </c>
      <c r="J75" s="1" t="str">
        <f t="shared" si="4"/>
        <v>White Swan</v>
      </c>
      <c r="K75" s="1" t="s">
        <v>38</v>
      </c>
      <c r="L75" s="1" t="s">
        <v>345</v>
      </c>
    </row>
    <row r="76" spans="1:12" x14ac:dyDescent="0.25">
      <c r="A76" s="1" t="s">
        <v>516</v>
      </c>
      <c r="B76" s="1">
        <v>1</v>
      </c>
      <c r="C76" s="1">
        <f t="shared" si="5"/>
        <v>0.4464285714285714</v>
      </c>
      <c r="D76" s="1" t="s">
        <v>645</v>
      </c>
      <c r="E76" s="1" t="s">
        <v>1</v>
      </c>
      <c r="F76" s="1" t="str">
        <f t="shared" si="2"/>
        <v>Not outside the expected relevance in such a scenario or problem space</v>
      </c>
      <c r="G76" s="1" t="str">
        <f t="shared" si="3"/>
        <v>Not novel</v>
      </c>
      <c r="H76" s="1" t="s">
        <v>938</v>
      </c>
      <c r="I76" s="1" t="s">
        <v>694</v>
      </c>
      <c r="J76" s="1" t="str">
        <f t="shared" si="4"/>
        <v>White Swan</v>
      </c>
      <c r="K76" s="1" t="s">
        <v>38</v>
      </c>
      <c r="L76" s="1" t="s">
        <v>345</v>
      </c>
    </row>
    <row r="77" spans="1:12" x14ac:dyDescent="0.25">
      <c r="A77" s="13" t="s">
        <v>517</v>
      </c>
      <c r="B77" s="13">
        <v>1</v>
      </c>
      <c r="C77" s="1">
        <f t="shared" si="5"/>
        <v>0.4464285714285714</v>
      </c>
      <c r="D77" s="1" t="s">
        <v>645</v>
      </c>
      <c r="E77" s="13" t="s">
        <v>1</v>
      </c>
      <c r="F77" s="1" t="str">
        <f t="shared" si="2"/>
        <v>Not outside the expected relevance in such a scenario or problem space</v>
      </c>
      <c r="G77" s="1" t="str">
        <f t="shared" si="3"/>
        <v>Not novel</v>
      </c>
      <c r="H77" s="13" t="s">
        <v>985</v>
      </c>
      <c r="I77" s="13" t="s">
        <v>694</v>
      </c>
      <c r="J77" s="1" t="str">
        <f t="shared" si="4"/>
        <v>White Swan</v>
      </c>
      <c r="K77" s="1" t="s">
        <v>38</v>
      </c>
      <c r="L77" s="1" t="s">
        <v>345</v>
      </c>
    </row>
    <row r="78" spans="1:12" x14ac:dyDescent="0.25">
      <c r="A78" s="13" t="s">
        <v>518</v>
      </c>
      <c r="B78" s="13">
        <v>1</v>
      </c>
      <c r="C78" s="1">
        <f t="shared" si="5"/>
        <v>0.4464285714285714</v>
      </c>
      <c r="D78" s="1" t="s">
        <v>645</v>
      </c>
      <c r="E78" s="13" t="s">
        <v>1</v>
      </c>
      <c r="F78" s="1" t="str">
        <f t="shared" si="2"/>
        <v>Not outside the expected relevance in such a scenario or problem space</v>
      </c>
      <c r="G78" s="1" t="str">
        <f t="shared" si="3"/>
        <v>Not novel</v>
      </c>
      <c r="H78" s="13" t="s">
        <v>939</v>
      </c>
      <c r="I78" s="13" t="s">
        <v>695</v>
      </c>
      <c r="J78" s="1" t="str">
        <f t="shared" si="4"/>
        <v>White Swan</v>
      </c>
      <c r="K78" s="1" t="s">
        <v>38</v>
      </c>
      <c r="L78" s="1" t="s">
        <v>345</v>
      </c>
    </row>
    <row r="79" spans="1:12" x14ac:dyDescent="0.25">
      <c r="A79" s="13" t="s">
        <v>519</v>
      </c>
      <c r="B79" s="13">
        <v>1</v>
      </c>
      <c r="C79" s="1">
        <f t="shared" si="5"/>
        <v>0.4464285714285714</v>
      </c>
      <c r="D79" s="1" t="s">
        <v>645</v>
      </c>
      <c r="E79" s="12" t="s">
        <v>1</v>
      </c>
      <c r="F79" s="1" t="str">
        <f t="shared" si="2"/>
        <v>Not outside the expected relevance in such a scenario or problem space</v>
      </c>
      <c r="G79" s="1" t="str">
        <f t="shared" si="3"/>
        <v>Not novel</v>
      </c>
      <c r="H79" s="1" t="s">
        <v>940</v>
      </c>
      <c r="I79" s="1" t="s">
        <v>694</v>
      </c>
      <c r="J79" s="1" t="str">
        <f t="shared" si="4"/>
        <v>White Swan</v>
      </c>
      <c r="K79" s="1" t="s">
        <v>38</v>
      </c>
      <c r="L79" s="1" t="s">
        <v>345</v>
      </c>
    </row>
    <row r="80" spans="1:12" x14ac:dyDescent="0.25">
      <c r="A80" s="13" t="s">
        <v>520</v>
      </c>
      <c r="B80" s="13">
        <v>1</v>
      </c>
      <c r="C80" s="1">
        <f t="shared" ref="C80:C111" si="6">(B80/SUM(B$16:B$117))*100</f>
        <v>0.4464285714285714</v>
      </c>
      <c r="D80" s="1" t="s">
        <v>645</v>
      </c>
      <c r="E80" s="12" t="s">
        <v>1</v>
      </c>
      <c r="F80" s="1" t="str">
        <f t="shared" si="2"/>
        <v>Not outside the expected relevance in such a scenario or problem space</v>
      </c>
      <c r="G80" s="1" t="str">
        <f t="shared" si="3"/>
        <v>Not novel</v>
      </c>
      <c r="H80" s="1" t="s">
        <v>941</v>
      </c>
      <c r="I80" s="1" t="s">
        <v>694</v>
      </c>
      <c r="J80" s="1" t="str">
        <f t="shared" si="4"/>
        <v>White Swan</v>
      </c>
      <c r="K80" s="1" t="s">
        <v>38</v>
      </c>
      <c r="L80" s="1" t="s">
        <v>345</v>
      </c>
    </row>
    <row r="81" spans="1:12" x14ac:dyDescent="0.25">
      <c r="A81" s="1" t="s">
        <v>521</v>
      </c>
      <c r="B81" s="1">
        <v>1</v>
      </c>
      <c r="C81" s="1">
        <f t="shared" si="6"/>
        <v>0.4464285714285714</v>
      </c>
      <c r="D81" s="1" t="s">
        <v>645</v>
      </c>
      <c r="E81" s="1" t="s">
        <v>1</v>
      </c>
      <c r="F81" s="1" t="str">
        <f t="shared" ref="F81:F117" si="7">IF(E81="typical","Not outside the expected relevance in such a scenario or problem space","Low or no prior risk assessment is available")</f>
        <v>Not outside the expected relevance in such a scenario or problem space</v>
      </c>
      <c r="G81" s="1" t="str">
        <f t="shared" ref="G81:G117" si="8">IF(AND(D81="original",E81="atypical"),"Novel","Not novel")</f>
        <v>Not novel</v>
      </c>
      <c r="H81" s="1" t="s">
        <v>942</v>
      </c>
      <c r="I81" s="1" t="s">
        <v>694</v>
      </c>
      <c r="J81" s="1" t="str">
        <f t="shared" si="4"/>
        <v>White Swan</v>
      </c>
      <c r="K81" s="1" t="s">
        <v>38</v>
      </c>
      <c r="L81" s="1" t="s">
        <v>345</v>
      </c>
    </row>
    <row r="82" spans="1:12" x14ac:dyDescent="0.25">
      <c r="A82" s="13" t="s">
        <v>522</v>
      </c>
      <c r="B82" s="13">
        <v>1</v>
      </c>
      <c r="C82" s="1">
        <f t="shared" si="6"/>
        <v>0.4464285714285714</v>
      </c>
      <c r="D82" s="1" t="s">
        <v>645</v>
      </c>
      <c r="E82" s="13" t="s">
        <v>1</v>
      </c>
      <c r="F82" s="1" t="str">
        <f t="shared" si="7"/>
        <v>Not outside the expected relevance in such a scenario or problem space</v>
      </c>
      <c r="G82" s="1" t="str">
        <f t="shared" si="8"/>
        <v>Not novel</v>
      </c>
      <c r="H82" s="13" t="s">
        <v>943</v>
      </c>
      <c r="I82" s="13" t="s">
        <v>694</v>
      </c>
      <c r="J82" s="1" t="str">
        <f t="shared" si="4"/>
        <v>White Swan</v>
      </c>
      <c r="K82" s="1" t="s">
        <v>38</v>
      </c>
      <c r="L82" s="1" t="s">
        <v>345</v>
      </c>
    </row>
    <row r="83" spans="1:12" x14ac:dyDescent="0.25">
      <c r="A83" s="1" t="s">
        <v>523</v>
      </c>
      <c r="B83" s="1">
        <v>1</v>
      </c>
      <c r="C83" s="1">
        <f t="shared" si="6"/>
        <v>0.4464285714285714</v>
      </c>
      <c r="D83" s="1" t="s">
        <v>645</v>
      </c>
      <c r="E83" s="1" t="s">
        <v>1</v>
      </c>
      <c r="F83" s="1" t="str">
        <f t="shared" si="7"/>
        <v>Not outside the expected relevance in such a scenario or problem space</v>
      </c>
      <c r="G83" s="1" t="str">
        <f t="shared" si="8"/>
        <v>Not novel</v>
      </c>
      <c r="H83" s="1" t="s">
        <v>986</v>
      </c>
      <c r="I83" s="1" t="s">
        <v>694</v>
      </c>
      <c r="J83" s="1" t="str">
        <f t="shared" si="4"/>
        <v>White Swan</v>
      </c>
      <c r="K83" s="1" t="s">
        <v>38</v>
      </c>
      <c r="L83" s="1" t="s">
        <v>345</v>
      </c>
    </row>
    <row r="84" spans="1:12" x14ac:dyDescent="0.25">
      <c r="A84" s="13" t="s">
        <v>524</v>
      </c>
      <c r="B84" s="13">
        <v>1</v>
      </c>
      <c r="C84" s="1">
        <f t="shared" si="6"/>
        <v>0.4464285714285714</v>
      </c>
      <c r="D84" s="1" t="s">
        <v>645</v>
      </c>
      <c r="E84" s="13" t="s">
        <v>1</v>
      </c>
      <c r="F84" s="1" t="str">
        <f t="shared" si="7"/>
        <v>Not outside the expected relevance in such a scenario or problem space</v>
      </c>
      <c r="G84" s="1" t="str">
        <f t="shared" si="8"/>
        <v>Not novel</v>
      </c>
      <c r="H84" s="13" t="s">
        <v>987</v>
      </c>
      <c r="I84" s="13" t="s">
        <v>694</v>
      </c>
      <c r="J84" s="1" t="str">
        <f t="shared" si="4"/>
        <v>White Swan</v>
      </c>
      <c r="K84" s="1" t="s">
        <v>38</v>
      </c>
      <c r="L84" s="1" t="s">
        <v>345</v>
      </c>
    </row>
    <row r="85" spans="1:12" x14ac:dyDescent="0.25">
      <c r="A85" s="13" t="s">
        <v>525</v>
      </c>
      <c r="B85" s="13">
        <v>1</v>
      </c>
      <c r="C85" s="1">
        <f t="shared" si="6"/>
        <v>0.4464285714285714</v>
      </c>
      <c r="D85" s="1" t="s">
        <v>645</v>
      </c>
      <c r="E85" s="13" t="s">
        <v>1</v>
      </c>
      <c r="F85" s="1" t="str">
        <f t="shared" si="7"/>
        <v>Not outside the expected relevance in such a scenario or problem space</v>
      </c>
      <c r="G85" s="1" t="str">
        <f t="shared" si="8"/>
        <v>Not novel</v>
      </c>
      <c r="H85" s="13" t="s">
        <v>988</v>
      </c>
      <c r="I85" s="13" t="s">
        <v>694</v>
      </c>
      <c r="J85" s="1" t="str">
        <f t="shared" si="4"/>
        <v>White Swan</v>
      </c>
      <c r="K85" s="1" t="s">
        <v>38</v>
      </c>
      <c r="L85" s="1" t="s">
        <v>345</v>
      </c>
    </row>
    <row r="86" spans="1:12" x14ac:dyDescent="0.25">
      <c r="A86" s="1" t="s">
        <v>526</v>
      </c>
      <c r="B86" s="1">
        <v>1</v>
      </c>
      <c r="C86" s="1">
        <f t="shared" si="6"/>
        <v>0.4464285714285714</v>
      </c>
      <c r="D86" s="1" t="s">
        <v>645</v>
      </c>
      <c r="E86" s="1" t="s">
        <v>337</v>
      </c>
      <c r="F86" s="1" t="str">
        <f t="shared" si="7"/>
        <v>Low or no prior risk assessment is available</v>
      </c>
      <c r="G86" s="1" t="str">
        <f t="shared" si="8"/>
        <v>Novel</v>
      </c>
      <c r="H86" s="1" t="s">
        <v>989</v>
      </c>
      <c r="I86" s="1" t="s">
        <v>694</v>
      </c>
      <c r="J86" s="1" t="str">
        <f t="shared" si="4"/>
        <v>Black Swan</v>
      </c>
      <c r="K86" s="1" t="s">
        <v>38</v>
      </c>
      <c r="L86" s="1" t="s">
        <v>345</v>
      </c>
    </row>
    <row r="87" spans="1:12" x14ac:dyDescent="0.25">
      <c r="A87" s="13" t="s">
        <v>527</v>
      </c>
      <c r="B87" s="13">
        <v>1</v>
      </c>
      <c r="C87" s="1">
        <f t="shared" si="6"/>
        <v>0.4464285714285714</v>
      </c>
      <c r="D87" s="1" t="s">
        <v>645</v>
      </c>
      <c r="E87" s="13" t="s">
        <v>1</v>
      </c>
      <c r="F87" s="1" t="str">
        <f t="shared" si="7"/>
        <v>Not outside the expected relevance in such a scenario or problem space</v>
      </c>
      <c r="G87" s="1" t="str">
        <f t="shared" si="8"/>
        <v>Not novel</v>
      </c>
      <c r="H87" s="13" t="s">
        <v>944</v>
      </c>
      <c r="I87" s="13" t="s">
        <v>695</v>
      </c>
      <c r="J87" s="1" t="str">
        <f t="shared" si="4"/>
        <v>White Swan</v>
      </c>
      <c r="K87" s="1" t="s">
        <v>38</v>
      </c>
      <c r="L87" s="1" t="s">
        <v>345</v>
      </c>
    </row>
    <row r="88" spans="1:12" x14ac:dyDescent="0.25">
      <c r="A88" s="13" t="s">
        <v>528</v>
      </c>
      <c r="B88" s="13">
        <v>1</v>
      </c>
      <c r="C88" s="1">
        <f t="shared" si="6"/>
        <v>0.4464285714285714</v>
      </c>
      <c r="D88" s="1" t="s">
        <v>645</v>
      </c>
      <c r="E88" s="13" t="s">
        <v>1</v>
      </c>
      <c r="F88" s="1" t="str">
        <f t="shared" si="7"/>
        <v>Not outside the expected relevance in such a scenario or problem space</v>
      </c>
      <c r="G88" s="1" t="str">
        <f t="shared" si="8"/>
        <v>Not novel</v>
      </c>
      <c r="H88" s="13" t="s">
        <v>990</v>
      </c>
      <c r="I88" s="13" t="s">
        <v>695</v>
      </c>
      <c r="J88" s="1" t="str">
        <f t="shared" ref="J88:J117" si="9">IF(AND(G88="Novel",I88="impactful"),"Black Swan","White Swan")</f>
        <v>White Swan</v>
      </c>
      <c r="K88" s="1" t="s">
        <v>38</v>
      </c>
      <c r="L88" s="1" t="s">
        <v>345</v>
      </c>
    </row>
    <row r="89" spans="1:12" x14ac:dyDescent="0.25">
      <c r="A89" s="13" t="s">
        <v>529</v>
      </c>
      <c r="B89" s="13">
        <v>1</v>
      </c>
      <c r="C89" s="1">
        <f t="shared" si="6"/>
        <v>0.4464285714285714</v>
      </c>
      <c r="D89" s="1" t="s">
        <v>645</v>
      </c>
      <c r="E89" s="13" t="s">
        <v>1</v>
      </c>
      <c r="F89" s="1" t="str">
        <f t="shared" si="7"/>
        <v>Not outside the expected relevance in such a scenario or problem space</v>
      </c>
      <c r="G89" s="1" t="str">
        <f t="shared" si="8"/>
        <v>Not novel</v>
      </c>
      <c r="H89" s="13" t="s">
        <v>945</v>
      </c>
      <c r="I89" s="13" t="s">
        <v>694</v>
      </c>
      <c r="J89" s="1" t="str">
        <f t="shared" si="9"/>
        <v>White Swan</v>
      </c>
      <c r="K89" s="1" t="s">
        <v>38</v>
      </c>
      <c r="L89" s="1" t="s">
        <v>345</v>
      </c>
    </row>
    <row r="90" spans="1:12" ht="15.75" customHeight="1" x14ac:dyDescent="0.25">
      <c r="A90" s="13" t="s">
        <v>530</v>
      </c>
      <c r="B90" s="13">
        <v>1</v>
      </c>
      <c r="C90" s="1">
        <f t="shared" si="6"/>
        <v>0.4464285714285714</v>
      </c>
      <c r="D90" s="1" t="s">
        <v>645</v>
      </c>
      <c r="E90" s="13" t="s">
        <v>1</v>
      </c>
      <c r="F90" s="1" t="str">
        <f t="shared" si="7"/>
        <v>Not outside the expected relevance in such a scenario or problem space</v>
      </c>
      <c r="G90" s="1" t="str">
        <f t="shared" si="8"/>
        <v>Not novel</v>
      </c>
      <c r="H90" s="13" t="s">
        <v>946</v>
      </c>
      <c r="I90" s="13" t="s">
        <v>694</v>
      </c>
      <c r="J90" s="1" t="str">
        <f t="shared" si="9"/>
        <v>White Swan</v>
      </c>
      <c r="K90" s="1" t="s">
        <v>38</v>
      </c>
      <c r="L90" s="1" t="s">
        <v>345</v>
      </c>
    </row>
    <row r="91" spans="1:12" x14ac:dyDescent="0.25">
      <c r="A91" s="1" t="s">
        <v>531</v>
      </c>
      <c r="B91" s="1">
        <v>1</v>
      </c>
      <c r="C91" s="1">
        <f t="shared" si="6"/>
        <v>0.4464285714285714</v>
      </c>
      <c r="D91" s="1" t="s">
        <v>645</v>
      </c>
      <c r="E91" s="1" t="s">
        <v>337</v>
      </c>
      <c r="F91" s="1" t="str">
        <f t="shared" si="7"/>
        <v>Low or no prior risk assessment is available</v>
      </c>
      <c r="G91" s="1" t="str">
        <f t="shared" si="8"/>
        <v>Novel</v>
      </c>
      <c r="H91" s="1" t="s">
        <v>947</v>
      </c>
      <c r="I91" s="1" t="s">
        <v>694</v>
      </c>
      <c r="J91" s="1" t="str">
        <f t="shared" si="9"/>
        <v>Black Swan</v>
      </c>
      <c r="K91" s="1" t="s">
        <v>38</v>
      </c>
      <c r="L91" s="1" t="s">
        <v>345</v>
      </c>
    </row>
    <row r="92" spans="1:12" x14ac:dyDescent="0.25">
      <c r="A92" s="1" t="s">
        <v>532</v>
      </c>
      <c r="B92" s="1">
        <v>1</v>
      </c>
      <c r="C92" s="1">
        <f t="shared" si="6"/>
        <v>0.4464285714285714</v>
      </c>
      <c r="D92" s="1" t="s">
        <v>645</v>
      </c>
      <c r="E92" s="1" t="s">
        <v>1</v>
      </c>
      <c r="F92" s="1" t="str">
        <f t="shared" si="7"/>
        <v>Not outside the expected relevance in such a scenario or problem space</v>
      </c>
      <c r="G92" s="1" t="str">
        <f t="shared" si="8"/>
        <v>Not novel</v>
      </c>
      <c r="H92" s="1" t="s">
        <v>948</v>
      </c>
      <c r="I92" s="1" t="s">
        <v>694</v>
      </c>
      <c r="J92" s="1" t="str">
        <f t="shared" si="9"/>
        <v>White Swan</v>
      </c>
      <c r="K92" s="1" t="s">
        <v>38</v>
      </c>
      <c r="L92" s="1" t="s">
        <v>345</v>
      </c>
    </row>
    <row r="93" spans="1:12" x14ac:dyDescent="0.25">
      <c r="A93" s="1" t="s">
        <v>533</v>
      </c>
      <c r="B93" s="1">
        <v>1</v>
      </c>
      <c r="C93" s="1">
        <f t="shared" si="6"/>
        <v>0.4464285714285714</v>
      </c>
      <c r="D93" s="1" t="s">
        <v>645</v>
      </c>
      <c r="E93" s="1" t="s">
        <v>1</v>
      </c>
      <c r="F93" s="1" t="str">
        <f t="shared" si="7"/>
        <v>Not outside the expected relevance in such a scenario or problem space</v>
      </c>
      <c r="G93" s="1" t="str">
        <f t="shared" si="8"/>
        <v>Not novel</v>
      </c>
      <c r="H93" s="1" t="s">
        <v>949</v>
      </c>
      <c r="I93" s="1" t="s">
        <v>694</v>
      </c>
      <c r="J93" s="1" t="str">
        <f t="shared" si="9"/>
        <v>White Swan</v>
      </c>
      <c r="K93" s="1" t="s">
        <v>38</v>
      </c>
      <c r="L93" s="1" t="s">
        <v>345</v>
      </c>
    </row>
    <row r="94" spans="1:12" x14ac:dyDescent="0.25">
      <c r="A94" s="13" t="s">
        <v>534</v>
      </c>
      <c r="B94" s="13">
        <v>1</v>
      </c>
      <c r="C94" s="1">
        <f t="shared" si="6"/>
        <v>0.4464285714285714</v>
      </c>
      <c r="D94" s="1" t="s">
        <v>645</v>
      </c>
      <c r="E94" s="13" t="s">
        <v>337</v>
      </c>
      <c r="F94" s="1" t="str">
        <f t="shared" si="7"/>
        <v>Low or no prior risk assessment is available</v>
      </c>
      <c r="G94" s="1" t="str">
        <f t="shared" si="8"/>
        <v>Novel</v>
      </c>
      <c r="H94" s="13" t="s">
        <v>950</v>
      </c>
      <c r="I94" s="13" t="s">
        <v>694</v>
      </c>
      <c r="J94" s="1" t="str">
        <f t="shared" si="9"/>
        <v>Black Swan</v>
      </c>
      <c r="K94" s="1" t="s">
        <v>38</v>
      </c>
      <c r="L94" s="1" t="s">
        <v>345</v>
      </c>
    </row>
    <row r="95" spans="1:12" x14ac:dyDescent="0.25">
      <c r="A95" s="13" t="s">
        <v>535</v>
      </c>
      <c r="B95" s="13">
        <v>1</v>
      </c>
      <c r="C95" s="1">
        <f t="shared" si="6"/>
        <v>0.4464285714285714</v>
      </c>
      <c r="D95" s="1" t="s">
        <v>645</v>
      </c>
      <c r="E95" s="12" t="s">
        <v>337</v>
      </c>
      <c r="F95" s="1" t="str">
        <f t="shared" si="7"/>
        <v>Low or no prior risk assessment is available</v>
      </c>
      <c r="G95" s="1" t="str">
        <f t="shared" si="8"/>
        <v>Novel</v>
      </c>
      <c r="H95" s="1" t="s">
        <v>951</v>
      </c>
      <c r="I95" s="1" t="s">
        <v>694</v>
      </c>
      <c r="J95" s="1" t="str">
        <f t="shared" si="9"/>
        <v>Black Swan</v>
      </c>
      <c r="K95" s="1" t="s">
        <v>38</v>
      </c>
      <c r="L95" s="1" t="s">
        <v>345</v>
      </c>
    </row>
    <row r="96" spans="1:12" x14ac:dyDescent="0.25">
      <c r="A96" s="1" t="s">
        <v>536</v>
      </c>
      <c r="B96" s="1">
        <v>1</v>
      </c>
      <c r="C96" s="1">
        <f t="shared" si="6"/>
        <v>0.4464285714285714</v>
      </c>
      <c r="D96" s="1" t="s">
        <v>645</v>
      </c>
      <c r="E96" s="1" t="s">
        <v>337</v>
      </c>
      <c r="F96" s="1" t="str">
        <f t="shared" si="7"/>
        <v>Low or no prior risk assessment is available</v>
      </c>
      <c r="G96" s="1" t="str">
        <f t="shared" si="8"/>
        <v>Novel</v>
      </c>
      <c r="H96" s="1" t="s">
        <v>952</v>
      </c>
      <c r="I96" s="1" t="s">
        <v>694</v>
      </c>
      <c r="J96" s="1" t="str">
        <f t="shared" si="9"/>
        <v>Black Swan</v>
      </c>
      <c r="K96" s="1" t="s">
        <v>38</v>
      </c>
      <c r="L96" s="1" t="s">
        <v>345</v>
      </c>
    </row>
    <row r="97" spans="1:12" x14ac:dyDescent="0.25">
      <c r="A97" s="13" t="s">
        <v>537</v>
      </c>
      <c r="B97" s="13">
        <v>1</v>
      </c>
      <c r="C97" s="1">
        <f t="shared" si="6"/>
        <v>0.4464285714285714</v>
      </c>
      <c r="D97" s="1" t="s">
        <v>645</v>
      </c>
      <c r="E97" s="12" t="s">
        <v>337</v>
      </c>
      <c r="F97" s="1" t="str">
        <f t="shared" si="7"/>
        <v>Low or no prior risk assessment is available</v>
      </c>
      <c r="G97" s="1" t="str">
        <f t="shared" si="8"/>
        <v>Novel</v>
      </c>
      <c r="H97" s="1" t="s">
        <v>953</v>
      </c>
      <c r="I97" s="1" t="s">
        <v>695</v>
      </c>
      <c r="J97" s="1" t="str">
        <f t="shared" si="9"/>
        <v>White Swan</v>
      </c>
      <c r="K97" s="1" t="s">
        <v>38</v>
      </c>
      <c r="L97" s="1" t="s">
        <v>345</v>
      </c>
    </row>
    <row r="98" spans="1:12" x14ac:dyDescent="0.25">
      <c r="A98" s="1" t="s">
        <v>538</v>
      </c>
      <c r="B98" s="1">
        <v>1</v>
      </c>
      <c r="C98" s="1">
        <f t="shared" si="6"/>
        <v>0.4464285714285714</v>
      </c>
      <c r="D98" s="1" t="s">
        <v>645</v>
      </c>
      <c r="E98" s="1" t="s">
        <v>1</v>
      </c>
      <c r="F98" s="1" t="str">
        <f t="shared" si="7"/>
        <v>Not outside the expected relevance in such a scenario or problem space</v>
      </c>
      <c r="G98" s="1" t="str">
        <f t="shared" si="8"/>
        <v>Not novel</v>
      </c>
      <c r="H98" s="1" t="s">
        <v>954</v>
      </c>
      <c r="I98" s="1" t="s">
        <v>694</v>
      </c>
      <c r="J98" s="1" t="str">
        <f t="shared" si="9"/>
        <v>White Swan</v>
      </c>
      <c r="K98" s="1" t="s">
        <v>38</v>
      </c>
      <c r="L98" s="1" t="s">
        <v>345</v>
      </c>
    </row>
    <row r="99" spans="1:12" x14ac:dyDescent="0.25">
      <c r="A99" s="1" t="s">
        <v>539</v>
      </c>
      <c r="B99" s="1">
        <v>1</v>
      </c>
      <c r="C99" s="1">
        <f t="shared" si="6"/>
        <v>0.4464285714285714</v>
      </c>
      <c r="D99" s="1" t="s">
        <v>645</v>
      </c>
      <c r="E99" s="1" t="s">
        <v>337</v>
      </c>
      <c r="F99" s="1" t="str">
        <f t="shared" si="7"/>
        <v>Low or no prior risk assessment is available</v>
      </c>
      <c r="G99" s="1" t="str">
        <f t="shared" si="8"/>
        <v>Novel</v>
      </c>
      <c r="H99" s="1" t="s">
        <v>955</v>
      </c>
      <c r="I99" s="1" t="s">
        <v>694</v>
      </c>
      <c r="J99" s="1" t="str">
        <f t="shared" si="9"/>
        <v>Black Swan</v>
      </c>
      <c r="K99" s="1" t="s">
        <v>38</v>
      </c>
      <c r="L99" s="1" t="s">
        <v>345</v>
      </c>
    </row>
    <row r="100" spans="1:12" x14ac:dyDescent="0.25">
      <c r="A100" s="13" t="s">
        <v>540</v>
      </c>
      <c r="B100" s="13">
        <v>1</v>
      </c>
      <c r="C100" s="1">
        <f t="shared" si="6"/>
        <v>0.4464285714285714</v>
      </c>
      <c r="D100" s="1" t="s">
        <v>645</v>
      </c>
      <c r="E100" s="12" t="s">
        <v>337</v>
      </c>
      <c r="F100" s="1" t="str">
        <f t="shared" si="7"/>
        <v>Low or no prior risk assessment is available</v>
      </c>
      <c r="G100" s="1" t="str">
        <f t="shared" si="8"/>
        <v>Novel</v>
      </c>
      <c r="H100" s="1" t="s">
        <v>991</v>
      </c>
      <c r="I100" s="1" t="s">
        <v>694</v>
      </c>
      <c r="J100" s="1" t="str">
        <f t="shared" si="9"/>
        <v>Black Swan</v>
      </c>
      <c r="K100" s="1" t="s">
        <v>38</v>
      </c>
      <c r="L100" s="1" t="s">
        <v>345</v>
      </c>
    </row>
    <row r="101" spans="1:12" x14ac:dyDescent="0.25">
      <c r="A101" s="1" t="s">
        <v>541</v>
      </c>
      <c r="B101" s="1">
        <v>1</v>
      </c>
      <c r="C101" s="1">
        <f t="shared" si="6"/>
        <v>0.4464285714285714</v>
      </c>
      <c r="D101" s="1" t="s">
        <v>645</v>
      </c>
      <c r="E101" s="1" t="s">
        <v>337</v>
      </c>
      <c r="F101" s="1" t="str">
        <f t="shared" si="7"/>
        <v>Low or no prior risk assessment is available</v>
      </c>
      <c r="G101" s="1" t="str">
        <f t="shared" si="8"/>
        <v>Novel</v>
      </c>
      <c r="H101" s="1" t="s">
        <v>956</v>
      </c>
      <c r="I101" s="1" t="s">
        <v>694</v>
      </c>
      <c r="J101" s="1" t="str">
        <f t="shared" si="9"/>
        <v>Black Swan</v>
      </c>
      <c r="K101" s="1" t="s">
        <v>38</v>
      </c>
      <c r="L101" s="1" t="s">
        <v>345</v>
      </c>
    </row>
    <row r="102" spans="1:12" x14ac:dyDescent="0.25">
      <c r="A102" s="1" t="s">
        <v>542</v>
      </c>
      <c r="B102" s="1">
        <v>1</v>
      </c>
      <c r="C102" s="1">
        <f t="shared" si="6"/>
        <v>0.4464285714285714</v>
      </c>
      <c r="D102" s="1" t="s">
        <v>645</v>
      </c>
      <c r="E102" s="1" t="s">
        <v>337</v>
      </c>
      <c r="F102" s="1" t="str">
        <f t="shared" si="7"/>
        <v>Low or no prior risk assessment is available</v>
      </c>
      <c r="G102" s="1" t="str">
        <f t="shared" si="8"/>
        <v>Novel</v>
      </c>
      <c r="H102" s="1" t="s">
        <v>957</v>
      </c>
      <c r="I102" s="1" t="s">
        <v>694</v>
      </c>
      <c r="J102" s="1" t="str">
        <f t="shared" si="9"/>
        <v>Black Swan</v>
      </c>
      <c r="K102" s="1" t="s">
        <v>38</v>
      </c>
      <c r="L102" s="1" t="s">
        <v>345</v>
      </c>
    </row>
    <row r="103" spans="1:12" x14ac:dyDescent="0.25">
      <c r="A103" s="13" t="s">
        <v>543</v>
      </c>
      <c r="B103" s="13">
        <v>1</v>
      </c>
      <c r="C103" s="1">
        <f t="shared" si="6"/>
        <v>0.4464285714285714</v>
      </c>
      <c r="D103" s="1" t="s">
        <v>645</v>
      </c>
      <c r="E103" s="1" t="s">
        <v>1</v>
      </c>
      <c r="F103" s="1" t="str">
        <f t="shared" si="7"/>
        <v>Not outside the expected relevance in such a scenario or problem space</v>
      </c>
      <c r="G103" s="1" t="str">
        <f t="shared" si="8"/>
        <v>Not novel</v>
      </c>
      <c r="H103" s="1" t="s">
        <v>992</v>
      </c>
      <c r="I103" s="1" t="s">
        <v>694</v>
      </c>
      <c r="J103" s="1" t="str">
        <f t="shared" si="9"/>
        <v>White Swan</v>
      </c>
      <c r="K103" s="1" t="s">
        <v>38</v>
      </c>
      <c r="L103" s="1" t="s">
        <v>345</v>
      </c>
    </row>
    <row r="104" spans="1:12" x14ac:dyDescent="0.25">
      <c r="A104" s="1" t="s">
        <v>544</v>
      </c>
      <c r="B104" s="1">
        <v>1</v>
      </c>
      <c r="C104" s="1">
        <f t="shared" si="6"/>
        <v>0.4464285714285714</v>
      </c>
      <c r="D104" s="1" t="s">
        <v>645</v>
      </c>
      <c r="E104" s="1" t="s">
        <v>337</v>
      </c>
      <c r="F104" s="1" t="str">
        <f t="shared" si="7"/>
        <v>Low or no prior risk assessment is available</v>
      </c>
      <c r="G104" s="1" t="str">
        <f t="shared" si="8"/>
        <v>Novel</v>
      </c>
      <c r="H104" s="1" t="s">
        <v>958</v>
      </c>
      <c r="I104" s="1" t="s">
        <v>694</v>
      </c>
      <c r="J104" s="1" t="str">
        <f t="shared" si="9"/>
        <v>Black Swan</v>
      </c>
      <c r="K104" s="1" t="s">
        <v>38</v>
      </c>
      <c r="L104" s="1" t="s">
        <v>345</v>
      </c>
    </row>
    <row r="105" spans="1:12" x14ac:dyDescent="0.25">
      <c r="A105" s="13" t="s">
        <v>545</v>
      </c>
      <c r="B105" s="13">
        <v>1</v>
      </c>
      <c r="C105" s="1">
        <f t="shared" si="6"/>
        <v>0.4464285714285714</v>
      </c>
      <c r="D105" s="1" t="s">
        <v>645</v>
      </c>
      <c r="E105" s="12" t="s">
        <v>337</v>
      </c>
      <c r="F105" s="1" t="str">
        <f t="shared" si="7"/>
        <v>Low or no prior risk assessment is available</v>
      </c>
      <c r="G105" s="1" t="str">
        <f t="shared" si="8"/>
        <v>Novel</v>
      </c>
      <c r="H105" s="1" t="s">
        <v>959</v>
      </c>
      <c r="I105" s="1" t="s">
        <v>695</v>
      </c>
      <c r="J105" s="1" t="str">
        <f t="shared" si="9"/>
        <v>White Swan</v>
      </c>
      <c r="K105" s="1" t="s">
        <v>38</v>
      </c>
      <c r="L105" s="1" t="s">
        <v>345</v>
      </c>
    </row>
    <row r="106" spans="1:12" x14ac:dyDescent="0.25">
      <c r="A106" s="1" t="s">
        <v>546</v>
      </c>
      <c r="B106" s="1">
        <v>1</v>
      </c>
      <c r="C106" s="1">
        <f t="shared" si="6"/>
        <v>0.4464285714285714</v>
      </c>
      <c r="D106" s="1" t="s">
        <v>645</v>
      </c>
      <c r="E106" s="1" t="s">
        <v>1</v>
      </c>
      <c r="F106" s="1" t="str">
        <f t="shared" si="7"/>
        <v>Not outside the expected relevance in such a scenario or problem space</v>
      </c>
      <c r="G106" s="1" t="str">
        <f t="shared" si="8"/>
        <v>Not novel</v>
      </c>
      <c r="H106" s="1" t="s">
        <v>960</v>
      </c>
      <c r="I106" s="1" t="s">
        <v>695</v>
      </c>
      <c r="J106" s="1" t="str">
        <f t="shared" si="9"/>
        <v>White Swan</v>
      </c>
      <c r="K106" s="1" t="s">
        <v>38</v>
      </c>
      <c r="L106" s="1" t="s">
        <v>345</v>
      </c>
    </row>
    <row r="107" spans="1:12" x14ac:dyDescent="0.25">
      <c r="A107" s="13" t="s">
        <v>547</v>
      </c>
      <c r="B107" s="13">
        <v>1</v>
      </c>
      <c r="C107" s="1">
        <f t="shared" si="6"/>
        <v>0.4464285714285714</v>
      </c>
      <c r="D107" s="1" t="s">
        <v>645</v>
      </c>
      <c r="E107" s="13" t="s">
        <v>337</v>
      </c>
      <c r="F107" s="1" t="str">
        <f t="shared" si="7"/>
        <v>Low or no prior risk assessment is available</v>
      </c>
      <c r="G107" s="1" t="str">
        <f t="shared" si="8"/>
        <v>Novel</v>
      </c>
      <c r="H107" s="13" t="s">
        <v>993</v>
      </c>
      <c r="I107" s="13" t="s">
        <v>694</v>
      </c>
      <c r="J107" s="1" t="str">
        <f t="shared" si="9"/>
        <v>Black Swan</v>
      </c>
      <c r="K107" s="1" t="s">
        <v>38</v>
      </c>
      <c r="L107" s="1" t="s">
        <v>345</v>
      </c>
    </row>
    <row r="108" spans="1:12" x14ac:dyDescent="0.25">
      <c r="A108" s="1" t="s">
        <v>548</v>
      </c>
      <c r="B108" s="1">
        <v>1</v>
      </c>
      <c r="C108" s="1">
        <f t="shared" si="6"/>
        <v>0.4464285714285714</v>
      </c>
      <c r="D108" s="1" t="s">
        <v>645</v>
      </c>
      <c r="E108" s="1" t="s">
        <v>1</v>
      </c>
      <c r="F108" s="1" t="str">
        <f t="shared" si="7"/>
        <v>Not outside the expected relevance in such a scenario or problem space</v>
      </c>
      <c r="G108" s="1" t="str">
        <f t="shared" si="8"/>
        <v>Not novel</v>
      </c>
      <c r="H108" s="1" t="s">
        <v>961</v>
      </c>
      <c r="I108" s="1" t="s">
        <v>694</v>
      </c>
      <c r="J108" s="1" t="str">
        <f t="shared" si="9"/>
        <v>White Swan</v>
      </c>
      <c r="K108" s="1" t="s">
        <v>38</v>
      </c>
      <c r="L108" s="1" t="s">
        <v>345</v>
      </c>
    </row>
    <row r="109" spans="1:12" x14ac:dyDescent="0.25">
      <c r="A109" s="1" t="s">
        <v>549</v>
      </c>
      <c r="B109" s="1">
        <v>1</v>
      </c>
      <c r="C109" s="1">
        <f t="shared" si="6"/>
        <v>0.4464285714285714</v>
      </c>
      <c r="D109" s="1" t="s">
        <v>645</v>
      </c>
      <c r="E109" s="1" t="s">
        <v>337</v>
      </c>
      <c r="F109" s="1" t="str">
        <f t="shared" si="7"/>
        <v>Low or no prior risk assessment is available</v>
      </c>
      <c r="G109" s="1" t="str">
        <f t="shared" si="8"/>
        <v>Novel</v>
      </c>
      <c r="H109" s="1" t="s">
        <v>994</v>
      </c>
      <c r="I109" s="1" t="s">
        <v>694</v>
      </c>
      <c r="J109" s="1" t="str">
        <f t="shared" si="9"/>
        <v>Black Swan</v>
      </c>
      <c r="K109" s="1" t="s">
        <v>38</v>
      </c>
      <c r="L109" s="1" t="s">
        <v>345</v>
      </c>
    </row>
    <row r="110" spans="1:12" x14ac:dyDescent="0.25">
      <c r="A110" s="1" t="s">
        <v>550</v>
      </c>
      <c r="B110" s="1">
        <v>1</v>
      </c>
      <c r="C110" s="1">
        <f t="shared" si="6"/>
        <v>0.4464285714285714</v>
      </c>
      <c r="D110" s="1" t="s">
        <v>645</v>
      </c>
      <c r="E110" s="1" t="s">
        <v>337</v>
      </c>
      <c r="F110" s="1" t="str">
        <f t="shared" si="7"/>
        <v>Low or no prior risk assessment is available</v>
      </c>
      <c r="G110" s="1" t="str">
        <f t="shared" si="8"/>
        <v>Novel</v>
      </c>
      <c r="H110" s="1" t="s">
        <v>962</v>
      </c>
      <c r="I110" s="1" t="s">
        <v>694</v>
      </c>
      <c r="J110" s="1" t="str">
        <f t="shared" si="9"/>
        <v>Black Swan</v>
      </c>
      <c r="K110" s="1" t="s">
        <v>38</v>
      </c>
      <c r="L110" s="1" t="s">
        <v>345</v>
      </c>
    </row>
    <row r="111" spans="1:12" x14ac:dyDescent="0.25">
      <c r="A111" s="13" t="s">
        <v>551</v>
      </c>
      <c r="B111" s="13">
        <v>1</v>
      </c>
      <c r="C111" s="1">
        <f t="shared" si="6"/>
        <v>0.4464285714285714</v>
      </c>
      <c r="D111" s="1" t="s">
        <v>645</v>
      </c>
      <c r="E111" s="12" t="s">
        <v>337</v>
      </c>
      <c r="F111" s="1" t="str">
        <f t="shared" si="7"/>
        <v>Low or no prior risk assessment is available</v>
      </c>
      <c r="G111" s="1" t="str">
        <f t="shared" si="8"/>
        <v>Novel</v>
      </c>
      <c r="H111" s="1" t="s">
        <v>995</v>
      </c>
      <c r="I111" s="1" t="s">
        <v>694</v>
      </c>
      <c r="J111" s="1" t="str">
        <f t="shared" si="9"/>
        <v>Black Swan</v>
      </c>
      <c r="K111" s="1" t="s">
        <v>38</v>
      </c>
      <c r="L111" s="1" t="s">
        <v>345</v>
      </c>
    </row>
    <row r="112" spans="1:12" x14ac:dyDescent="0.25">
      <c r="A112" s="1" t="s">
        <v>552</v>
      </c>
      <c r="B112" s="1">
        <v>1</v>
      </c>
      <c r="C112" s="1">
        <f t="shared" ref="C112:C117" si="10">(B112/SUM(B$16:B$117))*100</f>
        <v>0.4464285714285714</v>
      </c>
      <c r="D112" s="1" t="s">
        <v>645</v>
      </c>
      <c r="E112" s="1" t="s">
        <v>337</v>
      </c>
      <c r="F112" s="1" t="str">
        <f t="shared" si="7"/>
        <v>Low or no prior risk assessment is available</v>
      </c>
      <c r="G112" s="1" t="str">
        <f t="shared" si="8"/>
        <v>Novel</v>
      </c>
      <c r="H112" s="1" t="s">
        <v>996</v>
      </c>
      <c r="I112" s="1" t="s">
        <v>694</v>
      </c>
      <c r="J112" s="1" t="str">
        <f t="shared" si="9"/>
        <v>Black Swan</v>
      </c>
      <c r="K112" s="1" t="s">
        <v>38</v>
      </c>
      <c r="L112" s="1" t="s">
        <v>345</v>
      </c>
    </row>
    <row r="113" spans="1:12" x14ac:dyDescent="0.25">
      <c r="A113" s="13" t="s">
        <v>553</v>
      </c>
      <c r="B113" s="13">
        <v>1</v>
      </c>
      <c r="C113" s="1">
        <f t="shared" si="10"/>
        <v>0.4464285714285714</v>
      </c>
      <c r="D113" s="1" t="s">
        <v>645</v>
      </c>
      <c r="E113" s="13" t="s">
        <v>1</v>
      </c>
      <c r="F113" s="1" t="str">
        <f t="shared" si="7"/>
        <v>Not outside the expected relevance in such a scenario or problem space</v>
      </c>
      <c r="G113" s="1" t="str">
        <f t="shared" si="8"/>
        <v>Not novel</v>
      </c>
      <c r="H113" s="13" t="s">
        <v>997</v>
      </c>
      <c r="I113" s="13" t="s">
        <v>694</v>
      </c>
      <c r="J113" s="1" t="str">
        <f t="shared" si="9"/>
        <v>White Swan</v>
      </c>
      <c r="K113" s="1" t="s">
        <v>38</v>
      </c>
      <c r="L113" s="1" t="s">
        <v>345</v>
      </c>
    </row>
    <row r="114" spans="1:12" x14ac:dyDescent="0.25">
      <c r="A114" s="13" t="s">
        <v>554</v>
      </c>
      <c r="B114" s="13">
        <v>1</v>
      </c>
      <c r="C114" s="1">
        <f t="shared" si="10"/>
        <v>0.4464285714285714</v>
      </c>
      <c r="D114" s="1" t="s">
        <v>645</v>
      </c>
      <c r="E114" s="13" t="s">
        <v>1</v>
      </c>
      <c r="F114" s="1" t="str">
        <f t="shared" si="7"/>
        <v>Not outside the expected relevance in such a scenario or problem space</v>
      </c>
      <c r="G114" s="1" t="str">
        <f t="shared" si="8"/>
        <v>Not novel</v>
      </c>
      <c r="H114" s="13" t="s">
        <v>998</v>
      </c>
      <c r="I114" s="13" t="s">
        <v>694</v>
      </c>
      <c r="J114" s="1" t="str">
        <f t="shared" si="9"/>
        <v>White Swan</v>
      </c>
      <c r="K114" s="1" t="s">
        <v>38</v>
      </c>
      <c r="L114" s="1" t="s">
        <v>345</v>
      </c>
    </row>
    <row r="115" spans="1:12" x14ac:dyDescent="0.25">
      <c r="A115" s="13" t="s">
        <v>555</v>
      </c>
      <c r="B115" s="13">
        <v>1</v>
      </c>
      <c r="C115" s="1">
        <f t="shared" si="10"/>
        <v>0.4464285714285714</v>
      </c>
      <c r="D115" s="1" t="s">
        <v>645</v>
      </c>
      <c r="E115" s="13" t="s">
        <v>1</v>
      </c>
      <c r="F115" s="1" t="str">
        <f t="shared" si="7"/>
        <v>Not outside the expected relevance in such a scenario or problem space</v>
      </c>
      <c r="G115" s="1" t="str">
        <f t="shared" si="8"/>
        <v>Not novel</v>
      </c>
      <c r="H115" s="13" t="s">
        <v>963</v>
      </c>
      <c r="I115" s="13" t="s">
        <v>694</v>
      </c>
      <c r="J115" s="1" t="str">
        <f t="shared" si="9"/>
        <v>White Swan</v>
      </c>
      <c r="K115" s="1" t="s">
        <v>38</v>
      </c>
      <c r="L115" s="1" t="s">
        <v>345</v>
      </c>
    </row>
    <row r="116" spans="1:12" x14ac:dyDescent="0.25">
      <c r="A116" s="1" t="s">
        <v>556</v>
      </c>
      <c r="B116" s="1">
        <v>1</v>
      </c>
      <c r="C116" s="1">
        <f t="shared" si="10"/>
        <v>0.4464285714285714</v>
      </c>
      <c r="D116" s="1" t="s">
        <v>645</v>
      </c>
      <c r="E116" s="1" t="s">
        <v>337</v>
      </c>
      <c r="F116" s="1" t="str">
        <f t="shared" si="7"/>
        <v>Low or no prior risk assessment is available</v>
      </c>
      <c r="G116" s="1" t="str">
        <f t="shared" si="8"/>
        <v>Novel</v>
      </c>
      <c r="H116" s="1" t="s">
        <v>964</v>
      </c>
      <c r="I116" s="1" t="s">
        <v>695</v>
      </c>
      <c r="J116" s="1" t="str">
        <f t="shared" si="9"/>
        <v>White Swan</v>
      </c>
      <c r="K116" s="1" t="s">
        <v>38</v>
      </c>
      <c r="L116" s="1" t="s">
        <v>345</v>
      </c>
    </row>
    <row r="117" spans="1:12" x14ac:dyDescent="0.25">
      <c r="A117" s="1" t="s">
        <v>557</v>
      </c>
      <c r="B117" s="1">
        <v>1</v>
      </c>
      <c r="C117" s="1">
        <f t="shared" si="10"/>
        <v>0.4464285714285714</v>
      </c>
      <c r="D117" s="1" t="s">
        <v>645</v>
      </c>
      <c r="E117" s="1" t="s">
        <v>1</v>
      </c>
      <c r="F117" s="1" t="str">
        <f t="shared" si="7"/>
        <v>Not outside the expected relevance in such a scenario or problem space</v>
      </c>
      <c r="G117" s="1" t="str">
        <f t="shared" si="8"/>
        <v>Not novel</v>
      </c>
      <c r="H117" s="1" t="s">
        <v>965</v>
      </c>
      <c r="I117" s="1" t="s">
        <v>695</v>
      </c>
      <c r="J117" s="1" t="str">
        <f t="shared" si="9"/>
        <v>White Swan</v>
      </c>
      <c r="K117" s="1" t="s">
        <v>38</v>
      </c>
      <c r="L117" s="1" t="s">
        <v>345</v>
      </c>
    </row>
  </sheetData>
  <autoFilter ref="J15:J117" xr:uid="{F822875E-1E34-4809-BFA6-2920BB384C10}"/>
  <mergeCells count="3">
    <mergeCell ref="B14:D14"/>
    <mergeCell ref="B8:C8"/>
    <mergeCell ref="B11:C11"/>
  </mergeCells>
  <conditionalFormatting sqref="D16:D117">
    <cfRule type="cellIs" dxfId="15" priority="42" operator="equal">
      <formula>"not original"</formula>
    </cfRule>
    <cfRule type="cellIs" dxfId="14" priority="43" operator="equal">
      <formula>"original"</formula>
    </cfRule>
  </conditionalFormatting>
  <conditionalFormatting sqref="E16:E117">
    <cfRule type="cellIs" dxfId="13" priority="46" operator="equal">
      <formula>$A$10</formula>
    </cfRule>
    <cfRule type="cellIs" dxfId="12" priority="47" operator="equal">
      <formula>$A$9</formula>
    </cfRule>
  </conditionalFormatting>
  <conditionalFormatting sqref="G16:G117">
    <cfRule type="cellIs" dxfId="11" priority="44" operator="equal">
      <formula>$A$7</formula>
    </cfRule>
    <cfRule type="cellIs" dxfId="10" priority="45" operator="equal">
      <formula>$A$6</formula>
    </cfRule>
  </conditionalFormatting>
  <conditionalFormatting sqref="I16:J117">
    <cfRule type="cellIs" dxfId="9" priority="40" operator="equal">
      <formula>"not impactful"</formula>
    </cfRule>
    <cfRule type="cellIs" dxfId="8" priority="41" operator="equal">
      <formula>"impactful"</formula>
    </cfRule>
  </conditionalFormatting>
  <conditionalFormatting sqref="J16:J117">
    <cfRule type="cellIs" dxfId="7" priority="39" operator="equal">
      <formula>"Black Swan"</formula>
    </cfRule>
  </conditionalFormatting>
  <conditionalFormatting sqref="K16:K117">
    <cfRule type="cellIs" dxfId="6" priority="49" operator="equal">
      <formula>$A$2</formula>
    </cfRule>
    <cfRule type="cellIs" dxfId="5" priority="50" operator="equal">
      <formula>$A$3</formula>
    </cfRule>
    <cfRule type="cellIs" dxfId="4" priority="51" operator="equal">
      <formula>"agree"</formula>
    </cfRule>
  </conditionalFormatting>
  <conditionalFormatting sqref="K16:L117">
    <cfRule type="cellIs" dxfId="3" priority="48" operator="equal">
      <formula>$A$3</formula>
    </cfRule>
  </conditionalFormatting>
  <conditionalFormatting sqref="L16:L117">
    <cfRule type="cellIs" dxfId="2" priority="52" operator="equal">
      <formula>$B$3</formula>
    </cfRule>
    <cfRule type="cellIs" dxfId="1" priority="53" operator="equal">
      <formula>$B$3</formula>
    </cfRule>
    <cfRule type="cellIs" dxfId="0" priority="54" operator="equal">
      <formula>$B$2</formula>
    </cfRule>
  </conditionalFormatting>
  <dataValidations count="5">
    <dataValidation type="list" allowBlank="1" showInputMessage="1" showErrorMessage="1" sqref="L16:L117" xr:uid="{99B92E33-A625-49B6-B3A1-11C820E8AA41}">
      <formula1>$B$2:$B$4</formula1>
    </dataValidation>
    <dataValidation type="list" allowBlank="1" showInputMessage="1" showErrorMessage="1" sqref="K16:K117" xr:uid="{ABEED184-FBD7-48DE-BB72-D03F6ECD7AAB}">
      <formula1>$A$2:$A$4</formula1>
    </dataValidation>
    <dataValidation type="list" allowBlank="1" showInputMessage="1" showErrorMessage="1" sqref="G16:G117" xr:uid="{BAAF28C7-D46F-416B-BD23-1DC1302D66C0}">
      <formula1>$A$6:$A$7</formula1>
    </dataValidation>
    <dataValidation type="list" allowBlank="1" showInputMessage="1" showErrorMessage="1" sqref="E16:E117" xr:uid="{12223B0A-76F1-4770-9E02-EEEC4FA09A98}">
      <formula1>$A$9:$A$10</formula1>
    </dataValidation>
    <dataValidation type="list" allowBlank="1" showInputMessage="1" showErrorMessage="1" sqref="F16:F117" xr:uid="{9AC7DB32-BDB7-4538-B642-60F65EF320EF}">
      <formula1>$F$2:$F$11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83B86-D6D7-46A4-8BCF-B0629B22DCB8}">
  <dimension ref="A1:C270"/>
  <sheetViews>
    <sheetView tabSelected="1" workbookViewId="0">
      <selection activeCell="C22" sqref="C22"/>
    </sheetView>
  </sheetViews>
  <sheetFormatPr defaultRowHeight="15" x14ac:dyDescent="0.25"/>
  <cols>
    <col min="1" max="1" width="46.5703125" bestFit="1" customWidth="1"/>
    <col min="2" max="2" width="44.85546875" bestFit="1" customWidth="1"/>
    <col min="3" max="3" width="42.140625" style="7" customWidth="1"/>
  </cols>
  <sheetData>
    <row r="1" spans="1:3" ht="15.75" thickBot="1" x14ac:dyDescent="0.3">
      <c r="A1" s="25" t="s">
        <v>1007</v>
      </c>
      <c r="B1" s="26" t="s">
        <v>1008</v>
      </c>
      <c r="C1" s="23" t="s">
        <v>1009</v>
      </c>
    </row>
    <row r="2" spans="1:3" ht="30" customHeight="1" thickBot="1" x14ac:dyDescent="0.3">
      <c r="A2" s="58" t="s">
        <v>1010</v>
      </c>
      <c r="B2" s="59"/>
      <c r="C2" s="60"/>
    </row>
    <row r="3" spans="1:3" ht="15.75" thickBot="1" x14ac:dyDescent="0.3">
      <c r="A3" s="49" t="s">
        <v>1011</v>
      </c>
      <c r="B3" s="52" t="s">
        <v>1012</v>
      </c>
      <c r="C3" s="24" t="s">
        <v>1013</v>
      </c>
    </row>
    <row r="4" spans="1:3" ht="15.75" thickBot="1" x14ac:dyDescent="0.3">
      <c r="A4" s="50"/>
      <c r="B4" s="53"/>
      <c r="C4" s="24" t="s">
        <v>1014</v>
      </c>
    </row>
    <row r="5" spans="1:3" ht="15.75" thickBot="1" x14ac:dyDescent="0.3">
      <c r="A5" s="50"/>
      <c r="B5" s="53"/>
      <c r="C5" s="24" t="s">
        <v>1015</v>
      </c>
    </row>
    <row r="6" spans="1:3" ht="15.75" thickBot="1" x14ac:dyDescent="0.3">
      <c r="A6" s="50"/>
      <c r="B6" s="53"/>
      <c r="C6" s="24" t="s">
        <v>1016</v>
      </c>
    </row>
    <row r="7" spans="1:3" ht="15.75" thickBot="1" x14ac:dyDescent="0.3">
      <c r="A7" s="50"/>
      <c r="B7" s="53"/>
      <c r="C7" s="24" t="s">
        <v>1017</v>
      </c>
    </row>
    <row r="8" spans="1:3" ht="15.75" thickBot="1" x14ac:dyDescent="0.3">
      <c r="A8" s="50"/>
      <c r="B8" s="53"/>
      <c r="C8" s="24" t="s">
        <v>1018</v>
      </c>
    </row>
    <row r="9" spans="1:3" ht="15.75" thickBot="1" x14ac:dyDescent="0.3">
      <c r="A9" s="50"/>
      <c r="B9" s="53"/>
      <c r="C9" s="24" t="s">
        <v>1019</v>
      </c>
    </row>
    <row r="10" spans="1:3" ht="15.75" thickBot="1" x14ac:dyDescent="0.3">
      <c r="A10" s="50"/>
      <c r="B10" s="54"/>
      <c r="C10" s="24" t="s">
        <v>1020</v>
      </c>
    </row>
    <row r="11" spans="1:3" ht="15.75" thickBot="1" x14ac:dyDescent="0.3">
      <c r="A11" s="50"/>
      <c r="B11" s="52" t="s">
        <v>1021</v>
      </c>
      <c r="C11" s="24" t="s">
        <v>1022</v>
      </c>
    </row>
    <row r="12" spans="1:3" ht="30.75" thickBot="1" x14ac:dyDescent="0.3">
      <c r="A12" s="50"/>
      <c r="B12" s="53"/>
      <c r="C12" s="24" t="s">
        <v>1023</v>
      </c>
    </row>
    <row r="13" spans="1:3" ht="30.75" thickBot="1" x14ac:dyDescent="0.3">
      <c r="A13" s="50"/>
      <c r="B13" s="53"/>
      <c r="C13" s="24" t="s">
        <v>1024</v>
      </c>
    </row>
    <row r="14" spans="1:3" ht="15.75" thickBot="1" x14ac:dyDescent="0.3">
      <c r="A14" s="50"/>
      <c r="B14" s="53"/>
      <c r="C14" s="24" t="s">
        <v>1025</v>
      </c>
    </row>
    <row r="15" spans="1:3" ht="15.75" thickBot="1" x14ac:dyDescent="0.3">
      <c r="A15" s="50"/>
      <c r="B15" s="53"/>
      <c r="C15" s="24" t="s">
        <v>1026</v>
      </c>
    </row>
    <row r="16" spans="1:3" ht="15.75" thickBot="1" x14ac:dyDescent="0.3">
      <c r="A16" s="50"/>
      <c r="B16" s="53"/>
      <c r="C16" s="24" t="s">
        <v>1027</v>
      </c>
    </row>
    <row r="17" spans="1:3" ht="30.75" thickBot="1" x14ac:dyDescent="0.3">
      <c r="A17" s="50"/>
      <c r="B17" s="53"/>
      <c r="C17" s="24" t="s">
        <v>1028</v>
      </c>
    </row>
    <row r="18" spans="1:3" ht="15.75" thickBot="1" x14ac:dyDescent="0.3">
      <c r="A18" s="50"/>
      <c r="B18" s="53"/>
      <c r="C18" s="24" t="s">
        <v>1029</v>
      </c>
    </row>
    <row r="19" spans="1:3" ht="15.75" thickBot="1" x14ac:dyDescent="0.3">
      <c r="A19" s="50"/>
      <c r="B19" s="53"/>
      <c r="C19" s="24" t="s">
        <v>1030</v>
      </c>
    </row>
    <row r="20" spans="1:3" ht="15.75" thickBot="1" x14ac:dyDescent="0.3">
      <c r="A20" s="50"/>
      <c r="B20" s="53"/>
      <c r="C20" s="24" t="s">
        <v>1031</v>
      </c>
    </row>
    <row r="21" spans="1:3" ht="15.75" thickBot="1" x14ac:dyDescent="0.3">
      <c r="A21" s="50"/>
      <c r="B21" s="54"/>
      <c r="C21" s="24" t="s">
        <v>1032</v>
      </c>
    </row>
    <row r="22" spans="1:3" ht="15.75" thickBot="1" x14ac:dyDescent="0.3">
      <c r="A22" s="50"/>
      <c r="B22" s="52" t="s">
        <v>1033</v>
      </c>
      <c r="C22" s="24" t="s">
        <v>1034</v>
      </c>
    </row>
    <row r="23" spans="1:3" ht="15.75" thickBot="1" x14ac:dyDescent="0.3">
      <c r="A23" s="50"/>
      <c r="B23" s="53"/>
      <c r="C23" s="24" t="s">
        <v>1035</v>
      </c>
    </row>
    <row r="24" spans="1:3" ht="15.75" thickBot="1" x14ac:dyDescent="0.3">
      <c r="A24" s="50"/>
      <c r="B24" s="53"/>
      <c r="C24" s="24" t="s">
        <v>1036</v>
      </c>
    </row>
    <row r="25" spans="1:3" ht="15.75" thickBot="1" x14ac:dyDescent="0.3">
      <c r="A25" s="50"/>
      <c r="B25" s="53"/>
      <c r="C25" s="24" t="s">
        <v>1037</v>
      </c>
    </row>
    <row r="26" spans="1:3" ht="15.75" thickBot="1" x14ac:dyDescent="0.3">
      <c r="A26" s="50"/>
      <c r="B26" s="53"/>
      <c r="C26" s="24" t="s">
        <v>1038</v>
      </c>
    </row>
    <row r="27" spans="1:3" ht="15.75" thickBot="1" x14ac:dyDescent="0.3">
      <c r="A27" s="50"/>
      <c r="B27" s="53"/>
      <c r="C27" s="24" t="s">
        <v>1039</v>
      </c>
    </row>
    <row r="28" spans="1:3" ht="15.75" thickBot="1" x14ac:dyDescent="0.3">
      <c r="A28" s="50"/>
      <c r="B28" s="53"/>
      <c r="C28" s="24" t="s">
        <v>1040</v>
      </c>
    </row>
    <row r="29" spans="1:3" ht="15.75" thickBot="1" x14ac:dyDescent="0.3">
      <c r="A29" s="50"/>
      <c r="B29" s="53"/>
      <c r="C29" s="24" t="s">
        <v>1041</v>
      </c>
    </row>
    <row r="30" spans="1:3" ht="15.75" thickBot="1" x14ac:dyDescent="0.3">
      <c r="A30" s="50"/>
      <c r="B30" s="53"/>
      <c r="C30" s="24" t="s">
        <v>1042</v>
      </c>
    </row>
    <row r="31" spans="1:3" ht="15.75" thickBot="1" x14ac:dyDescent="0.3">
      <c r="A31" s="50"/>
      <c r="B31" s="53"/>
      <c r="C31" s="24" t="s">
        <v>1043</v>
      </c>
    </row>
    <row r="32" spans="1:3" ht="15.75" thickBot="1" x14ac:dyDescent="0.3">
      <c r="A32" s="50"/>
      <c r="B32" s="53"/>
      <c r="C32" s="24" t="s">
        <v>1044</v>
      </c>
    </row>
    <row r="33" spans="1:3" ht="15.75" thickBot="1" x14ac:dyDescent="0.3">
      <c r="A33" s="50"/>
      <c r="B33" s="54"/>
      <c r="C33" s="24" t="s">
        <v>1045</v>
      </c>
    </row>
    <row r="34" spans="1:3" ht="15.75" thickBot="1" x14ac:dyDescent="0.3">
      <c r="A34" s="50"/>
      <c r="B34" s="52" t="s">
        <v>1046</v>
      </c>
      <c r="C34" s="24" t="s">
        <v>1047</v>
      </c>
    </row>
    <row r="35" spans="1:3" ht="15.75" thickBot="1" x14ac:dyDescent="0.3">
      <c r="A35" s="50"/>
      <c r="B35" s="53"/>
      <c r="C35" s="24" t="s">
        <v>1048</v>
      </c>
    </row>
    <row r="36" spans="1:3" ht="15.75" thickBot="1" x14ac:dyDescent="0.3">
      <c r="A36" s="50"/>
      <c r="B36" s="54"/>
      <c r="C36" s="24" t="s">
        <v>1049</v>
      </c>
    </row>
    <row r="37" spans="1:3" ht="15.75" thickBot="1" x14ac:dyDescent="0.3">
      <c r="A37" s="50"/>
      <c r="B37" s="28" t="s">
        <v>1050</v>
      </c>
      <c r="C37" s="24"/>
    </row>
    <row r="38" spans="1:3" ht="15.75" thickBot="1" x14ac:dyDescent="0.3">
      <c r="A38" s="50"/>
      <c r="B38" s="49" t="s">
        <v>1051</v>
      </c>
      <c r="C38" s="24" t="s">
        <v>1052</v>
      </c>
    </row>
    <row r="39" spans="1:3" ht="15.75" thickBot="1" x14ac:dyDescent="0.3">
      <c r="A39" s="50"/>
      <c r="B39" s="50"/>
      <c r="C39" s="24" t="s">
        <v>1053</v>
      </c>
    </row>
    <row r="40" spans="1:3" ht="15.75" thickBot="1" x14ac:dyDescent="0.3">
      <c r="A40" s="50"/>
      <c r="B40" s="51"/>
      <c r="C40" s="24" t="s">
        <v>1054</v>
      </c>
    </row>
    <row r="41" spans="1:3" ht="15.75" thickBot="1" x14ac:dyDescent="0.3">
      <c r="A41" s="50"/>
      <c r="B41" s="49" t="s">
        <v>1055</v>
      </c>
      <c r="C41" s="24" t="s">
        <v>1056</v>
      </c>
    </row>
    <row r="42" spans="1:3" ht="15.75" thickBot="1" x14ac:dyDescent="0.3">
      <c r="A42" s="50"/>
      <c r="B42" s="50"/>
      <c r="C42" s="24" t="s">
        <v>1057</v>
      </c>
    </row>
    <row r="43" spans="1:3" ht="15.75" thickBot="1" x14ac:dyDescent="0.3">
      <c r="A43" s="50"/>
      <c r="B43" s="51"/>
      <c r="C43" s="24" t="s">
        <v>1058</v>
      </c>
    </row>
    <row r="44" spans="1:3" ht="15.75" thickBot="1" x14ac:dyDescent="0.3">
      <c r="A44" s="50"/>
      <c r="B44" s="49" t="s">
        <v>1059</v>
      </c>
      <c r="C44" s="24" t="s">
        <v>1060</v>
      </c>
    </row>
    <row r="45" spans="1:3" ht="15.75" thickBot="1" x14ac:dyDescent="0.3">
      <c r="A45" s="50"/>
      <c r="B45" s="50"/>
      <c r="C45" s="24" t="s">
        <v>1061</v>
      </c>
    </row>
    <row r="46" spans="1:3" ht="15.75" thickBot="1" x14ac:dyDescent="0.3">
      <c r="A46" s="50"/>
      <c r="B46" s="51"/>
      <c r="C46" s="24" t="s">
        <v>1062</v>
      </c>
    </row>
    <row r="47" spans="1:3" ht="15.75" thickBot="1" x14ac:dyDescent="0.3">
      <c r="A47" s="50"/>
      <c r="B47" s="49" t="s">
        <v>1063</v>
      </c>
      <c r="C47" s="24" t="s">
        <v>1064</v>
      </c>
    </row>
    <row r="48" spans="1:3" ht="15.75" thickBot="1" x14ac:dyDescent="0.3">
      <c r="A48" s="50"/>
      <c r="B48" s="50"/>
      <c r="C48" s="24" t="s">
        <v>1065</v>
      </c>
    </row>
    <row r="49" spans="1:3" ht="15.75" thickBot="1" x14ac:dyDescent="0.3">
      <c r="A49" s="50"/>
      <c r="B49" s="50"/>
      <c r="C49" s="24" t="s">
        <v>1066</v>
      </c>
    </row>
    <row r="50" spans="1:3" ht="15.75" thickBot="1" x14ac:dyDescent="0.3">
      <c r="A50" s="50"/>
      <c r="B50" s="51"/>
      <c r="C50" s="24" t="s">
        <v>1067</v>
      </c>
    </row>
    <row r="51" spans="1:3" ht="30.75" thickBot="1" x14ac:dyDescent="0.3">
      <c r="A51" s="50"/>
      <c r="B51" s="52" t="s">
        <v>1068</v>
      </c>
      <c r="C51" s="24" t="s">
        <v>1069</v>
      </c>
    </row>
    <row r="52" spans="1:3" ht="30.75" thickBot="1" x14ac:dyDescent="0.3">
      <c r="A52" s="50"/>
      <c r="B52" s="53"/>
      <c r="C52" s="24" t="s">
        <v>1070</v>
      </c>
    </row>
    <row r="53" spans="1:3" ht="30.75" thickBot="1" x14ac:dyDescent="0.3">
      <c r="A53" s="50"/>
      <c r="B53" s="53"/>
      <c r="C53" s="24" t="s">
        <v>1071</v>
      </c>
    </row>
    <row r="54" spans="1:3" ht="30.75" thickBot="1" x14ac:dyDescent="0.3">
      <c r="A54" s="50"/>
      <c r="B54" s="53"/>
      <c r="C54" s="24" t="s">
        <v>1072</v>
      </c>
    </row>
    <row r="55" spans="1:3" ht="30.75" thickBot="1" x14ac:dyDescent="0.3">
      <c r="A55" s="50"/>
      <c r="B55" s="54"/>
      <c r="C55" s="24" t="s">
        <v>1073</v>
      </c>
    </row>
    <row r="56" spans="1:3" ht="15.75" thickBot="1" x14ac:dyDescent="0.3">
      <c r="A56" s="50"/>
      <c r="B56" s="52" t="s">
        <v>1074</v>
      </c>
      <c r="C56" s="24" t="s">
        <v>1075</v>
      </c>
    </row>
    <row r="57" spans="1:3" ht="15.75" thickBot="1" x14ac:dyDescent="0.3">
      <c r="A57" s="50"/>
      <c r="B57" s="53"/>
      <c r="C57" s="24" t="s">
        <v>1076</v>
      </c>
    </row>
    <row r="58" spans="1:3" ht="15.75" thickBot="1" x14ac:dyDescent="0.3">
      <c r="A58" s="50"/>
      <c r="B58" s="53"/>
      <c r="C58" s="24" t="s">
        <v>1077</v>
      </c>
    </row>
    <row r="59" spans="1:3" ht="15.75" thickBot="1" x14ac:dyDescent="0.3">
      <c r="A59" s="50"/>
      <c r="B59" s="53"/>
      <c r="C59" s="24" t="s">
        <v>1078</v>
      </c>
    </row>
    <row r="60" spans="1:3" ht="15.75" thickBot="1" x14ac:dyDescent="0.3">
      <c r="A60" s="50"/>
      <c r="B60" s="54"/>
      <c r="C60" s="24" t="s">
        <v>1079</v>
      </c>
    </row>
    <row r="61" spans="1:3" ht="15.75" thickBot="1" x14ac:dyDescent="0.3">
      <c r="A61" s="50"/>
      <c r="B61" s="52" t="s">
        <v>1080</v>
      </c>
      <c r="C61" s="24" t="s">
        <v>1081</v>
      </c>
    </row>
    <row r="62" spans="1:3" ht="30.75" thickBot="1" x14ac:dyDescent="0.3">
      <c r="A62" s="50"/>
      <c r="B62" s="53"/>
      <c r="C62" s="24" t="s">
        <v>1082</v>
      </c>
    </row>
    <row r="63" spans="1:3" ht="30.75" thickBot="1" x14ac:dyDescent="0.3">
      <c r="A63" s="50"/>
      <c r="B63" s="53"/>
      <c r="C63" s="24" t="s">
        <v>1083</v>
      </c>
    </row>
    <row r="64" spans="1:3" ht="30.75" thickBot="1" x14ac:dyDescent="0.3">
      <c r="A64" s="50"/>
      <c r="B64" s="54"/>
      <c r="C64" s="24" t="s">
        <v>1084</v>
      </c>
    </row>
    <row r="65" spans="1:3" ht="15.75" thickBot="1" x14ac:dyDescent="0.3">
      <c r="A65" s="50"/>
      <c r="B65" s="52" t="s">
        <v>1085</v>
      </c>
      <c r="C65" s="24" t="s">
        <v>1086</v>
      </c>
    </row>
    <row r="66" spans="1:3" ht="30.75" thickBot="1" x14ac:dyDescent="0.3">
      <c r="A66" s="50"/>
      <c r="B66" s="53"/>
      <c r="C66" s="24" t="s">
        <v>1087</v>
      </c>
    </row>
    <row r="67" spans="1:3" ht="30.75" thickBot="1" x14ac:dyDescent="0.3">
      <c r="A67" s="50"/>
      <c r="B67" s="53"/>
      <c r="C67" s="24" t="s">
        <v>1088</v>
      </c>
    </row>
    <row r="68" spans="1:3" ht="30.75" thickBot="1" x14ac:dyDescent="0.3">
      <c r="A68" s="50"/>
      <c r="B68" s="53"/>
      <c r="C68" s="24" t="s">
        <v>1089</v>
      </c>
    </row>
    <row r="69" spans="1:3" ht="15.75" thickBot="1" x14ac:dyDescent="0.3">
      <c r="A69" s="50"/>
      <c r="B69" s="54"/>
      <c r="C69" s="24" t="s">
        <v>1090</v>
      </c>
    </row>
    <row r="70" spans="1:3" ht="15.75" thickBot="1" x14ac:dyDescent="0.3">
      <c r="A70" s="50"/>
      <c r="B70" s="52" t="s">
        <v>1091</v>
      </c>
      <c r="C70" s="24" t="s">
        <v>1092</v>
      </c>
    </row>
    <row r="71" spans="1:3" ht="15.75" thickBot="1" x14ac:dyDescent="0.3">
      <c r="A71" s="50"/>
      <c r="B71" s="53"/>
      <c r="C71" s="24" t="s">
        <v>1093</v>
      </c>
    </row>
    <row r="72" spans="1:3" ht="15.75" thickBot="1" x14ac:dyDescent="0.3">
      <c r="A72" s="50"/>
      <c r="B72" s="53"/>
      <c r="C72" s="24" t="s">
        <v>1094</v>
      </c>
    </row>
    <row r="73" spans="1:3" ht="15.75" thickBot="1" x14ac:dyDescent="0.3">
      <c r="A73" s="50"/>
      <c r="B73" s="53"/>
      <c r="C73" s="24" t="s">
        <v>1095</v>
      </c>
    </row>
    <row r="74" spans="1:3" ht="15.75" thickBot="1" x14ac:dyDescent="0.3">
      <c r="A74" s="50"/>
      <c r="B74" s="53"/>
      <c r="C74" s="24" t="s">
        <v>1096</v>
      </c>
    </row>
    <row r="75" spans="1:3" ht="15.75" thickBot="1" x14ac:dyDescent="0.3">
      <c r="A75" s="51"/>
      <c r="B75" s="54"/>
      <c r="C75" s="24" t="s">
        <v>1097</v>
      </c>
    </row>
    <row r="76" spans="1:3" ht="27.75" customHeight="1" thickBot="1" x14ac:dyDescent="0.3">
      <c r="A76" s="49" t="s">
        <v>1098</v>
      </c>
      <c r="B76" s="27" t="s">
        <v>1099</v>
      </c>
      <c r="C76" s="24"/>
    </row>
    <row r="77" spans="1:3" ht="15.75" thickBot="1" x14ac:dyDescent="0.3">
      <c r="A77" s="50"/>
      <c r="B77" s="27" t="s">
        <v>1100</v>
      </c>
      <c r="C77" s="24"/>
    </row>
    <row r="78" spans="1:3" ht="15.75" thickBot="1" x14ac:dyDescent="0.3">
      <c r="A78" s="50"/>
      <c r="B78" s="27" t="s">
        <v>1101</v>
      </c>
      <c r="C78" s="24"/>
    </row>
    <row r="79" spans="1:3" ht="15.75" thickBot="1" x14ac:dyDescent="0.3">
      <c r="A79" s="51"/>
      <c r="B79" s="27" t="s">
        <v>1102</v>
      </c>
      <c r="C79" s="24"/>
    </row>
    <row r="80" spans="1:3" ht="15.75" thickBot="1" x14ac:dyDescent="0.3">
      <c r="A80" s="49" t="s">
        <v>1103</v>
      </c>
      <c r="B80" s="27" t="s">
        <v>1104</v>
      </c>
      <c r="C80" s="24"/>
    </row>
    <row r="81" spans="1:3" ht="15.75" thickBot="1" x14ac:dyDescent="0.3">
      <c r="A81" s="50"/>
      <c r="B81" s="27" t="s">
        <v>1105</v>
      </c>
      <c r="C81" s="24"/>
    </row>
    <row r="82" spans="1:3" ht="15.75" thickBot="1" x14ac:dyDescent="0.3">
      <c r="A82" s="50"/>
      <c r="B82" s="27" t="s">
        <v>1106</v>
      </c>
      <c r="C82" s="24"/>
    </row>
    <row r="83" spans="1:3" ht="15.75" thickBot="1" x14ac:dyDescent="0.3">
      <c r="A83" s="50"/>
      <c r="B83" s="27" t="s">
        <v>1107</v>
      </c>
      <c r="C83" s="24"/>
    </row>
    <row r="84" spans="1:3" ht="15.75" thickBot="1" x14ac:dyDescent="0.3">
      <c r="A84" s="50"/>
      <c r="B84" s="27" t="s">
        <v>1108</v>
      </c>
      <c r="C84" s="24"/>
    </row>
    <row r="85" spans="1:3" ht="15.75" thickBot="1" x14ac:dyDescent="0.3">
      <c r="A85" s="50"/>
      <c r="B85" s="27" t="s">
        <v>1109</v>
      </c>
      <c r="C85" s="24"/>
    </row>
    <row r="86" spans="1:3" ht="15.75" thickBot="1" x14ac:dyDescent="0.3">
      <c r="A86" s="50"/>
      <c r="B86" s="27" t="s">
        <v>1110</v>
      </c>
      <c r="C86" s="24"/>
    </row>
    <row r="87" spans="1:3" ht="15.75" thickBot="1" x14ac:dyDescent="0.3">
      <c r="A87" s="50"/>
      <c r="B87" s="27" t="s">
        <v>1111</v>
      </c>
      <c r="C87" s="24"/>
    </row>
    <row r="88" spans="1:3" ht="15.75" thickBot="1" x14ac:dyDescent="0.3">
      <c r="A88" s="50"/>
      <c r="B88" s="27" t="s">
        <v>1112</v>
      </c>
      <c r="C88" s="24"/>
    </row>
    <row r="89" spans="1:3" ht="15.75" thickBot="1" x14ac:dyDescent="0.3">
      <c r="A89" s="51"/>
      <c r="B89" s="27" t="s">
        <v>1113</v>
      </c>
      <c r="C89" s="24"/>
    </row>
    <row r="90" spans="1:3" ht="15.75" thickBot="1" x14ac:dyDescent="0.3">
      <c r="A90" s="49" t="s">
        <v>1114</v>
      </c>
      <c r="B90" s="52" t="s">
        <v>1115</v>
      </c>
      <c r="C90" s="24" t="s">
        <v>1116</v>
      </c>
    </row>
    <row r="91" spans="1:3" ht="15.75" thickBot="1" x14ac:dyDescent="0.3">
      <c r="A91" s="50"/>
      <c r="B91" s="53"/>
      <c r="C91" s="24" t="s">
        <v>1117</v>
      </c>
    </row>
    <row r="92" spans="1:3" ht="15.75" thickBot="1" x14ac:dyDescent="0.3">
      <c r="A92" s="50"/>
      <c r="B92" s="53"/>
      <c r="C92" s="24" t="s">
        <v>1118</v>
      </c>
    </row>
    <row r="93" spans="1:3" ht="15.75" thickBot="1" x14ac:dyDescent="0.3">
      <c r="A93" s="50"/>
      <c r="B93" s="53"/>
      <c r="C93" s="24" t="s">
        <v>1119</v>
      </c>
    </row>
    <row r="94" spans="1:3" ht="15.75" thickBot="1" x14ac:dyDescent="0.3">
      <c r="A94" s="50"/>
      <c r="B94" s="53"/>
      <c r="C94" s="24" t="s">
        <v>1120</v>
      </c>
    </row>
    <row r="95" spans="1:3" ht="15.75" thickBot="1" x14ac:dyDescent="0.3">
      <c r="A95" s="50"/>
      <c r="B95" s="53"/>
      <c r="C95" s="24" t="s">
        <v>1121</v>
      </c>
    </row>
    <row r="96" spans="1:3" ht="15.75" thickBot="1" x14ac:dyDescent="0.3">
      <c r="A96" s="50"/>
      <c r="B96" s="53"/>
      <c r="C96" s="24" t="s">
        <v>1122</v>
      </c>
    </row>
    <row r="97" spans="1:3" ht="15.75" thickBot="1" x14ac:dyDescent="0.3">
      <c r="A97" s="50"/>
      <c r="B97" s="54"/>
      <c r="C97" s="24" t="s">
        <v>1123</v>
      </c>
    </row>
    <row r="98" spans="1:3" ht="30.75" thickBot="1" x14ac:dyDescent="0.3">
      <c r="A98" s="50"/>
      <c r="B98" s="52" t="s">
        <v>1124</v>
      </c>
      <c r="C98" s="24" t="s">
        <v>1125</v>
      </c>
    </row>
    <row r="99" spans="1:3" ht="30.75" thickBot="1" x14ac:dyDescent="0.3">
      <c r="A99" s="50"/>
      <c r="B99" s="53"/>
      <c r="C99" s="24" t="s">
        <v>1126</v>
      </c>
    </row>
    <row r="100" spans="1:3" ht="30.75" thickBot="1" x14ac:dyDescent="0.3">
      <c r="A100" s="50"/>
      <c r="B100" s="53"/>
      <c r="C100" s="24" t="s">
        <v>1127</v>
      </c>
    </row>
    <row r="101" spans="1:3" ht="30.75" thickBot="1" x14ac:dyDescent="0.3">
      <c r="A101" s="50"/>
      <c r="B101" s="53"/>
      <c r="C101" s="24" t="s">
        <v>1128</v>
      </c>
    </row>
    <row r="102" spans="1:3" ht="30.75" thickBot="1" x14ac:dyDescent="0.3">
      <c r="A102" s="50"/>
      <c r="B102" s="53"/>
      <c r="C102" s="24" t="s">
        <v>1129</v>
      </c>
    </row>
    <row r="103" spans="1:3" ht="30.75" thickBot="1" x14ac:dyDescent="0.3">
      <c r="A103" s="50"/>
      <c r="B103" s="53"/>
      <c r="C103" s="24" t="s">
        <v>1130</v>
      </c>
    </row>
    <row r="104" spans="1:3" ht="30.75" thickBot="1" x14ac:dyDescent="0.3">
      <c r="A104" s="50"/>
      <c r="B104" s="53"/>
      <c r="C104" s="24" t="s">
        <v>1131</v>
      </c>
    </row>
    <row r="105" spans="1:3" ht="45.75" thickBot="1" x14ac:dyDescent="0.3">
      <c r="A105" s="50"/>
      <c r="B105" s="53"/>
      <c r="C105" s="24" t="s">
        <v>1132</v>
      </c>
    </row>
    <row r="106" spans="1:3" ht="30.75" thickBot="1" x14ac:dyDescent="0.3">
      <c r="A106" s="50"/>
      <c r="B106" s="53"/>
      <c r="C106" s="24" t="s">
        <v>1133</v>
      </c>
    </row>
    <row r="107" spans="1:3" ht="45.75" thickBot="1" x14ac:dyDescent="0.3">
      <c r="A107" s="50"/>
      <c r="B107" s="53"/>
      <c r="C107" s="24" t="s">
        <v>1134</v>
      </c>
    </row>
    <row r="108" spans="1:3" ht="15.75" thickBot="1" x14ac:dyDescent="0.3">
      <c r="A108" s="50"/>
      <c r="B108" s="53"/>
      <c r="C108" s="24" t="s">
        <v>1135</v>
      </c>
    </row>
    <row r="109" spans="1:3" ht="30.75" thickBot="1" x14ac:dyDescent="0.3">
      <c r="A109" s="50"/>
      <c r="B109" s="54"/>
      <c r="C109" s="24" t="s">
        <v>1136</v>
      </c>
    </row>
    <row r="110" spans="1:3" ht="30.75" thickBot="1" x14ac:dyDescent="0.3">
      <c r="A110" s="50"/>
      <c r="B110" s="52" t="s">
        <v>1137</v>
      </c>
      <c r="C110" s="24" t="s">
        <v>1138</v>
      </c>
    </row>
    <row r="111" spans="1:3" ht="45.75" thickBot="1" x14ac:dyDescent="0.3">
      <c r="A111" s="50"/>
      <c r="B111" s="53"/>
      <c r="C111" s="24" t="s">
        <v>1139</v>
      </c>
    </row>
    <row r="112" spans="1:3" ht="30.75" thickBot="1" x14ac:dyDescent="0.3">
      <c r="A112" s="50"/>
      <c r="B112" s="53"/>
      <c r="C112" s="24" t="s">
        <v>1140</v>
      </c>
    </row>
    <row r="113" spans="1:3" ht="45.75" thickBot="1" x14ac:dyDescent="0.3">
      <c r="A113" s="50"/>
      <c r="B113" s="53"/>
      <c r="C113" s="24" t="s">
        <v>1141</v>
      </c>
    </row>
    <row r="114" spans="1:3" ht="30.75" thickBot="1" x14ac:dyDescent="0.3">
      <c r="A114" s="50"/>
      <c r="B114" s="53"/>
      <c r="C114" s="24" t="s">
        <v>1142</v>
      </c>
    </row>
    <row r="115" spans="1:3" ht="30.75" thickBot="1" x14ac:dyDescent="0.3">
      <c r="A115" s="50"/>
      <c r="B115" s="54"/>
      <c r="C115" s="24" t="s">
        <v>1143</v>
      </c>
    </row>
    <row r="116" spans="1:3" ht="15.75" thickBot="1" x14ac:dyDescent="0.3">
      <c r="A116" s="50"/>
      <c r="B116" s="52" t="s">
        <v>1144</v>
      </c>
      <c r="C116" s="24" t="s">
        <v>1145</v>
      </c>
    </row>
    <row r="117" spans="1:3" ht="30.75" thickBot="1" x14ac:dyDescent="0.3">
      <c r="A117" s="50"/>
      <c r="B117" s="53"/>
      <c r="C117" s="24" t="s">
        <v>1146</v>
      </c>
    </row>
    <row r="118" spans="1:3" ht="15.75" thickBot="1" x14ac:dyDescent="0.3">
      <c r="A118" s="50"/>
      <c r="B118" s="53"/>
      <c r="C118" s="24" t="s">
        <v>1147</v>
      </c>
    </row>
    <row r="119" spans="1:3" ht="30.75" thickBot="1" x14ac:dyDescent="0.3">
      <c r="A119" s="50"/>
      <c r="B119" s="53"/>
      <c r="C119" s="24" t="s">
        <v>1148</v>
      </c>
    </row>
    <row r="120" spans="1:3" ht="15.75" thickBot="1" x14ac:dyDescent="0.3">
      <c r="A120" s="50"/>
      <c r="B120" s="53"/>
      <c r="C120" s="24" t="s">
        <v>1149</v>
      </c>
    </row>
    <row r="121" spans="1:3" ht="30.75" thickBot="1" x14ac:dyDescent="0.3">
      <c r="A121" s="50"/>
      <c r="B121" s="53"/>
      <c r="C121" s="24" t="s">
        <v>1150</v>
      </c>
    </row>
    <row r="122" spans="1:3" ht="15.75" thickBot="1" x14ac:dyDescent="0.3">
      <c r="A122" s="50"/>
      <c r="B122" s="53"/>
      <c r="C122" s="24" t="s">
        <v>1151</v>
      </c>
    </row>
    <row r="123" spans="1:3" ht="30.75" thickBot="1" x14ac:dyDescent="0.3">
      <c r="A123" s="50"/>
      <c r="B123" s="54"/>
      <c r="C123" s="24" t="s">
        <v>1152</v>
      </c>
    </row>
    <row r="124" spans="1:3" ht="30.75" thickBot="1" x14ac:dyDescent="0.3">
      <c r="A124" s="50"/>
      <c r="B124" s="52" t="s">
        <v>1153</v>
      </c>
      <c r="C124" s="24" t="s">
        <v>1154</v>
      </c>
    </row>
    <row r="125" spans="1:3" ht="45.75" thickBot="1" x14ac:dyDescent="0.3">
      <c r="A125" s="50"/>
      <c r="B125" s="53"/>
      <c r="C125" s="24" t="s">
        <v>1155</v>
      </c>
    </row>
    <row r="126" spans="1:3" ht="30.75" thickBot="1" x14ac:dyDescent="0.3">
      <c r="A126" s="50"/>
      <c r="B126" s="53"/>
      <c r="C126" s="24" t="s">
        <v>1156</v>
      </c>
    </row>
    <row r="127" spans="1:3" ht="45.75" thickBot="1" x14ac:dyDescent="0.3">
      <c r="A127" s="50"/>
      <c r="B127" s="53"/>
      <c r="C127" s="24" t="s">
        <v>1157</v>
      </c>
    </row>
    <row r="128" spans="1:3" ht="30.75" thickBot="1" x14ac:dyDescent="0.3">
      <c r="A128" s="51"/>
      <c r="B128" s="54"/>
      <c r="C128" s="24" t="s">
        <v>1158</v>
      </c>
    </row>
    <row r="129" spans="1:3" ht="30.75" thickBot="1" x14ac:dyDescent="0.3">
      <c r="A129" s="49" t="s">
        <v>1159</v>
      </c>
      <c r="B129" s="52" t="s">
        <v>1160</v>
      </c>
      <c r="C129" s="24" t="s">
        <v>1161</v>
      </c>
    </row>
    <row r="130" spans="1:3" ht="15.75" thickBot="1" x14ac:dyDescent="0.3">
      <c r="A130" s="50"/>
      <c r="B130" s="53"/>
      <c r="C130" s="24" t="s">
        <v>1162</v>
      </c>
    </row>
    <row r="131" spans="1:3" ht="15.75" thickBot="1" x14ac:dyDescent="0.3">
      <c r="A131" s="50"/>
      <c r="B131" s="53"/>
      <c r="C131" s="24" t="s">
        <v>1163</v>
      </c>
    </row>
    <row r="132" spans="1:3" ht="15.75" thickBot="1" x14ac:dyDescent="0.3">
      <c r="A132" s="50"/>
      <c r="B132" s="53"/>
      <c r="C132" s="24" t="s">
        <v>1164</v>
      </c>
    </row>
    <row r="133" spans="1:3" ht="15.75" thickBot="1" x14ac:dyDescent="0.3">
      <c r="A133" s="50"/>
      <c r="B133" s="54"/>
      <c r="C133" s="24" t="s">
        <v>1165</v>
      </c>
    </row>
    <row r="134" spans="1:3" ht="29.25" customHeight="1" thickBot="1" x14ac:dyDescent="0.3">
      <c r="A134" s="50"/>
      <c r="B134" s="52" t="s">
        <v>1166</v>
      </c>
      <c r="C134" s="24" t="s">
        <v>1167</v>
      </c>
    </row>
    <row r="135" spans="1:3" ht="15.75" thickBot="1" x14ac:dyDescent="0.3">
      <c r="A135" s="50"/>
      <c r="B135" s="54"/>
      <c r="C135" s="24" t="s">
        <v>1168</v>
      </c>
    </row>
    <row r="136" spans="1:3" ht="15.75" thickBot="1" x14ac:dyDescent="0.3">
      <c r="A136" s="50"/>
      <c r="B136" s="52" t="s">
        <v>1169</v>
      </c>
      <c r="C136" s="24" t="s">
        <v>1170</v>
      </c>
    </row>
    <row r="137" spans="1:3" ht="15.75" thickBot="1" x14ac:dyDescent="0.3">
      <c r="A137" s="50"/>
      <c r="B137" s="53"/>
      <c r="C137" s="24" t="s">
        <v>1171</v>
      </c>
    </row>
    <row r="138" spans="1:3" ht="15.75" thickBot="1" x14ac:dyDescent="0.3">
      <c r="A138" s="50"/>
      <c r="B138" s="54"/>
      <c r="C138" s="24" t="s">
        <v>1172</v>
      </c>
    </row>
    <row r="139" spans="1:3" ht="15.75" thickBot="1" x14ac:dyDescent="0.3">
      <c r="A139" s="50"/>
      <c r="B139" s="52" t="s">
        <v>1173</v>
      </c>
      <c r="C139" s="24" t="s">
        <v>1174</v>
      </c>
    </row>
    <row r="140" spans="1:3" ht="15.75" thickBot="1" x14ac:dyDescent="0.3">
      <c r="A140" s="50"/>
      <c r="B140" s="53"/>
      <c r="C140" s="24" t="s">
        <v>1175</v>
      </c>
    </row>
    <row r="141" spans="1:3" ht="15.75" thickBot="1" x14ac:dyDescent="0.3">
      <c r="A141" s="50"/>
      <c r="B141" s="54"/>
      <c r="C141" s="24" t="s">
        <v>1176</v>
      </c>
    </row>
    <row r="142" spans="1:3" ht="15.75" thickBot="1" x14ac:dyDescent="0.3">
      <c r="A142" s="50"/>
      <c r="B142" s="52" t="s">
        <v>1177</v>
      </c>
      <c r="C142" s="24" t="s">
        <v>1178</v>
      </c>
    </row>
    <row r="143" spans="1:3" ht="15.75" thickBot="1" x14ac:dyDescent="0.3">
      <c r="A143" s="50"/>
      <c r="B143" s="54"/>
      <c r="C143" s="24" t="s">
        <v>1179</v>
      </c>
    </row>
    <row r="144" spans="1:3" ht="15.75" thickBot="1" x14ac:dyDescent="0.3">
      <c r="A144" s="50"/>
      <c r="B144" s="52" t="s">
        <v>1180</v>
      </c>
      <c r="C144" s="24" t="s">
        <v>1181</v>
      </c>
    </row>
    <row r="145" spans="1:3" ht="15.75" thickBot="1" x14ac:dyDescent="0.3">
      <c r="A145" s="50"/>
      <c r="B145" s="54"/>
      <c r="C145" s="24" t="s">
        <v>1182</v>
      </c>
    </row>
    <row r="146" spans="1:3" ht="15.75" thickBot="1" x14ac:dyDescent="0.3">
      <c r="A146" s="50"/>
      <c r="B146" s="52" t="s">
        <v>1183</v>
      </c>
      <c r="C146" s="24" t="s">
        <v>1184</v>
      </c>
    </row>
    <row r="147" spans="1:3" ht="15.75" thickBot="1" x14ac:dyDescent="0.3">
      <c r="A147" s="50"/>
      <c r="B147" s="54"/>
      <c r="C147" s="24" t="s">
        <v>1185</v>
      </c>
    </row>
    <row r="148" spans="1:3" ht="59.25" customHeight="1" thickBot="1" x14ac:dyDescent="0.3">
      <c r="A148" s="50"/>
      <c r="B148" s="52" t="s">
        <v>1186</v>
      </c>
      <c r="C148" s="24" t="s">
        <v>1187</v>
      </c>
    </row>
    <row r="149" spans="1:3" ht="15.75" thickBot="1" x14ac:dyDescent="0.3">
      <c r="A149" s="50"/>
      <c r="B149" s="54"/>
      <c r="C149" s="24" t="s">
        <v>1188</v>
      </c>
    </row>
    <row r="150" spans="1:3" ht="15.75" thickBot="1" x14ac:dyDescent="0.3">
      <c r="A150" s="50"/>
      <c r="B150" s="52" t="s">
        <v>1189</v>
      </c>
      <c r="C150" s="24" t="s">
        <v>1190</v>
      </c>
    </row>
    <row r="151" spans="1:3" ht="15.75" thickBot="1" x14ac:dyDescent="0.3">
      <c r="A151" s="50"/>
      <c r="B151" s="54"/>
      <c r="C151" s="24" t="s">
        <v>1191</v>
      </c>
    </row>
    <row r="152" spans="1:3" ht="15.75" thickBot="1" x14ac:dyDescent="0.3">
      <c r="A152" s="50"/>
      <c r="B152" s="52" t="s">
        <v>1192</v>
      </c>
      <c r="C152" s="24" t="s">
        <v>1193</v>
      </c>
    </row>
    <row r="153" spans="1:3" ht="15.75" thickBot="1" x14ac:dyDescent="0.3">
      <c r="A153" s="51"/>
      <c r="B153" s="54"/>
      <c r="C153" s="24" t="s">
        <v>1194</v>
      </c>
    </row>
    <row r="154" spans="1:3" ht="30.75" thickBot="1" x14ac:dyDescent="0.3">
      <c r="A154" s="49" t="s">
        <v>1195</v>
      </c>
      <c r="B154" s="52" t="s">
        <v>1196</v>
      </c>
      <c r="C154" s="24" t="s">
        <v>1197</v>
      </c>
    </row>
    <row r="155" spans="1:3" ht="30.75" thickBot="1" x14ac:dyDescent="0.3">
      <c r="A155" s="50"/>
      <c r="B155" s="54"/>
      <c r="C155" s="24" t="s">
        <v>1198</v>
      </c>
    </row>
    <row r="156" spans="1:3" ht="15.75" thickBot="1" x14ac:dyDescent="0.3">
      <c r="A156" s="50"/>
      <c r="B156" s="52" t="s">
        <v>1199</v>
      </c>
      <c r="C156" s="24" t="s">
        <v>1200</v>
      </c>
    </row>
    <row r="157" spans="1:3" ht="15.75" thickBot="1" x14ac:dyDescent="0.3">
      <c r="A157" s="50"/>
      <c r="B157" s="53"/>
      <c r="C157" s="24" t="s">
        <v>1201</v>
      </c>
    </row>
    <row r="158" spans="1:3" ht="15.75" thickBot="1" x14ac:dyDescent="0.3">
      <c r="A158" s="50"/>
      <c r="B158" s="53"/>
      <c r="C158" s="24" t="s">
        <v>1202</v>
      </c>
    </row>
    <row r="159" spans="1:3" ht="15.75" thickBot="1" x14ac:dyDescent="0.3">
      <c r="A159" s="50"/>
      <c r="B159" s="53"/>
      <c r="C159" s="24" t="s">
        <v>1203</v>
      </c>
    </row>
    <row r="160" spans="1:3" ht="15.75" thickBot="1" x14ac:dyDescent="0.3">
      <c r="A160" s="50"/>
      <c r="B160" s="53"/>
      <c r="C160" s="24" t="s">
        <v>1204</v>
      </c>
    </row>
    <row r="161" spans="1:3" ht="15.75" thickBot="1" x14ac:dyDescent="0.3">
      <c r="A161" s="50"/>
      <c r="B161" s="53"/>
      <c r="C161" s="24" t="s">
        <v>1205</v>
      </c>
    </row>
    <row r="162" spans="1:3" ht="15.75" thickBot="1" x14ac:dyDescent="0.3">
      <c r="A162" s="51"/>
      <c r="B162" s="54"/>
      <c r="C162" s="24" t="s">
        <v>1206</v>
      </c>
    </row>
    <row r="163" spans="1:3" ht="15.75" thickBot="1" x14ac:dyDescent="0.3">
      <c r="A163" s="49" t="s">
        <v>1207</v>
      </c>
      <c r="B163" s="52" t="s">
        <v>1208</v>
      </c>
      <c r="C163" s="24" t="s">
        <v>1209</v>
      </c>
    </row>
    <row r="164" spans="1:3" ht="15.75" thickBot="1" x14ac:dyDescent="0.3">
      <c r="A164" s="50"/>
      <c r="B164" s="53"/>
      <c r="C164" s="24" t="s">
        <v>1210</v>
      </c>
    </row>
    <row r="165" spans="1:3" ht="15.75" thickBot="1" x14ac:dyDescent="0.3">
      <c r="A165" s="50"/>
      <c r="B165" s="53"/>
      <c r="C165" s="24" t="s">
        <v>1211</v>
      </c>
    </row>
    <row r="166" spans="1:3" ht="15.75" thickBot="1" x14ac:dyDescent="0.3">
      <c r="A166" s="50"/>
      <c r="B166" s="53"/>
      <c r="C166" s="24" t="s">
        <v>1212</v>
      </c>
    </row>
    <row r="167" spans="1:3" ht="15.75" thickBot="1" x14ac:dyDescent="0.3">
      <c r="A167" s="50"/>
      <c r="B167" s="54"/>
      <c r="C167" s="24" t="s">
        <v>1213</v>
      </c>
    </row>
    <row r="168" spans="1:3" ht="30.75" thickBot="1" x14ac:dyDescent="0.3">
      <c r="A168" s="50"/>
      <c r="B168" s="52" t="s">
        <v>1214</v>
      </c>
      <c r="C168" s="24" t="s">
        <v>1215</v>
      </c>
    </row>
    <row r="169" spans="1:3" ht="15.75" thickBot="1" x14ac:dyDescent="0.3">
      <c r="A169" s="50"/>
      <c r="B169" s="53"/>
      <c r="C169" s="24" t="s">
        <v>1216</v>
      </c>
    </row>
    <row r="170" spans="1:3" ht="15.75" thickBot="1" x14ac:dyDescent="0.3">
      <c r="A170" s="51"/>
      <c r="B170" s="54"/>
      <c r="C170" s="24" t="s">
        <v>1217</v>
      </c>
    </row>
    <row r="171" spans="1:3" ht="45" customHeight="1" thickBot="1" x14ac:dyDescent="0.3">
      <c r="A171" s="55" t="s">
        <v>1218</v>
      </c>
      <c r="B171" s="56"/>
      <c r="C171" s="57"/>
    </row>
    <row r="172" spans="1:3" ht="15.75" thickBot="1" x14ac:dyDescent="0.3">
      <c r="A172" s="49" t="s">
        <v>1219</v>
      </c>
      <c r="B172" s="52" t="s">
        <v>1220</v>
      </c>
      <c r="C172" s="24" t="s">
        <v>1221</v>
      </c>
    </row>
    <row r="173" spans="1:3" ht="15.75" thickBot="1" x14ac:dyDescent="0.3">
      <c r="A173" s="50"/>
      <c r="B173" s="53"/>
      <c r="C173" s="24" t="s">
        <v>1222</v>
      </c>
    </row>
    <row r="174" spans="1:3" ht="15.75" thickBot="1" x14ac:dyDescent="0.3">
      <c r="A174" s="50"/>
      <c r="B174" s="53"/>
      <c r="C174" s="24" t="s">
        <v>1223</v>
      </c>
    </row>
    <row r="175" spans="1:3" ht="15.75" thickBot="1" x14ac:dyDescent="0.3">
      <c r="A175" s="50"/>
      <c r="B175" s="53"/>
      <c r="C175" s="24" t="s">
        <v>1224</v>
      </c>
    </row>
    <row r="176" spans="1:3" ht="15.75" thickBot="1" x14ac:dyDescent="0.3">
      <c r="A176" s="50"/>
      <c r="B176" s="54"/>
      <c r="C176" s="24" t="s">
        <v>1225</v>
      </c>
    </row>
    <row r="177" spans="1:3" ht="15.75" thickBot="1" x14ac:dyDescent="0.3">
      <c r="A177" s="50"/>
      <c r="B177" s="52" t="s">
        <v>1226</v>
      </c>
      <c r="C177" s="24" t="s">
        <v>1227</v>
      </c>
    </row>
    <row r="178" spans="1:3" ht="15.75" thickBot="1" x14ac:dyDescent="0.3">
      <c r="A178" s="50"/>
      <c r="B178" s="53"/>
      <c r="C178" s="24" t="s">
        <v>1228</v>
      </c>
    </row>
    <row r="179" spans="1:3" ht="15.75" thickBot="1" x14ac:dyDescent="0.3">
      <c r="A179" s="50"/>
      <c r="B179" s="53"/>
      <c r="C179" s="24" t="s">
        <v>1229</v>
      </c>
    </row>
    <row r="180" spans="1:3" ht="15.75" thickBot="1" x14ac:dyDescent="0.3">
      <c r="A180" s="50"/>
      <c r="B180" s="53"/>
      <c r="C180" s="24" t="s">
        <v>1230</v>
      </c>
    </row>
    <row r="181" spans="1:3" ht="15.75" thickBot="1" x14ac:dyDescent="0.3">
      <c r="A181" s="50"/>
      <c r="B181" s="53"/>
      <c r="C181" s="24" t="s">
        <v>1231</v>
      </c>
    </row>
    <row r="182" spans="1:3" ht="15.75" thickBot="1" x14ac:dyDescent="0.3">
      <c r="A182" s="50"/>
      <c r="B182" s="53"/>
      <c r="C182" s="24" t="s">
        <v>1232</v>
      </c>
    </row>
    <row r="183" spans="1:3" ht="15.75" thickBot="1" x14ac:dyDescent="0.3">
      <c r="A183" s="50"/>
      <c r="B183" s="54"/>
      <c r="C183" s="24" t="s">
        <v>1233</v>
      </c>
    </row>
    <row r="184" spans="1:3" ht="15.75" thickBot="1" x14ac:dyDescent="0.3">
      <c r="A184" s="50"/>
      <c r="B184" s="52" t="s">
        <v>1234</v>
      </c>
      <c r="C184" s="24" t="s">
        <v>1235</v>
      </c>
    </row>
    <row r="185" spans="1:3" ht="15.75" thickBot="1" x14ac:dyDescent="0.3">
      <c r="A185" s="50"/>
      <c r="B185" s="53"/>
      <c r="C185" s="24" t="s">
        <v>1236</v>
      </c>
    </row>
    <row r="186" spans="1:3" ht="15.75" thickBot="1" x14ac:dyDescent="0.3">
      <c r="A186" s="50"/>
      <c r="B186" s="53"/>
      <c r="C186" s="24" t="s">
        <v>1237</v>
      </c>
    </row>
    <row r="187" spans="1:3" ht="15.75" thickBot="1" x14ac:dyDescent="0.3">
      <c r="A187" s="50"/>
      <c r="B187" s="54"/>
      <c r="C187" s="24" t="s">
        <v>1238</v>
      </c>
    </row>
    <row r="188" spans="1:3" ht="59.25" customHeight="1" thickBot="1" x14ac:dyDescent="0.3">
      <c r="A188" s="50"/>
      <c r="B188" s="52" t="s">
        <v>1239</v>
      </c>
      <c r="C188" s="24" t="s">
        <v>1240</v>
      </c>
    </row>
    <row r="189" spans="1:3" ht="15.75" thickBot="1" x14ac:dyDescent="0.3">
      <c r="A189" s="51"/>
      <c r="B189" s="54"/>
      <c r="C189" s="24" t="s">
        <v>1241</v>
      </c>
    </row>
    <row r="190" spans="1:3" ht="15.75" thickBot="1" x14ac:dyDescent="0.3">
      <c r="A190" s="49" t="s">
        <v>1242</v>
      </c>
      <c r="B190" s="52" t="s">
        <v>1243</v>
      </c>
      <c r="C190" s="24" t="s">
        <v>1244</v>
      </c>
    </row>
    <row r="191" spans="1:3" ht="15.75" thickBot="1" x14ac:dyDescent="0.3">
      <c r="A191" s="50"/>
      <c r="B191" s="53"/>
      <c r="C191" s="24" t="s">
        <v>1245</v>
      </c>
    </row>
    <row r="192" spans="1:3" ht="15.75" thickBot="1" x14ac:dyDescent="0.3">
      <c r="A192" s="50"/>
      <c r="B192" s="53"/>
      <c r="C192" s="24" t="s">
        <v>1246</v>
      </c>
    </row>
    <row r="193" spans="1:3" ht="15.75" thickBot="1" x14ac:dyDescent="0.3">
      <c r="A193" s="50"/>
      <c r="B193" s="53"/>
      <c r="C193" s="24" t="s">
        <v>1247</v>
      </c>
    </row>
    <row r="194" spans="1:3" ht="15.75" thickBot="1" x14ac:dyDescent="0.3">
      <c r="A194" s="50"/>
      <c r="B194" s="53"/>
      <c r="C194" s="24" t="s">
        <v>1248</v>
      </c>
    </row>
    <row r="195" spans="1:3" ht="15.75" thickBot="1" x14ac:dyDescent="0.3">
      <c r="A195" s="50"/>
      <c r="B195" s="53"/>
      <c r="C195" s="24" t="s">
        <v>1249</v>
      </c>
    </row>
    <row r="196" spans="1:3" ht="15.75" thickBot="1" x14ac:dyDescent="0.3">
      <c r="A196" s="50"/>
      <c r="B196" s="53"/>
      <c r="C196" s="24" t="s">
        <v>1250</v>
      </c>
    </row>
    <row r="197" spans="1:3" ht="15.75" thickBot="1" x14ac:dyDescent="0.3">
      <c r="A197" s="50"/>
      <c r="B197" s="54"/>
      <c r="C197" s="24" t="s">
        <v>1251</v>
      </c>
    </row>
    <row r="198" spans="1:3" ht="15.75" thickBot="1" x14ac:dyDescent="0.3">
      <c r="A198" s="50"/>
      <c r="B198" s="52" t="s">
        <v>1252</v>
      </c>
      <c r="C198" s="24" t="s">
        <v>1227</v>
      </c>
    </row>
    <row r="199" spans="1:3" ht="15.75" thickBot="1" x14ac:dyDescent="0.3">
      <c r="A199" s="50"/>
      <c r="B199" s="53"/>
      <c r="C199" s="24" t="s">
        <v>1228</v>
      </c>
    </row>
    <row r="200" spans="1:3" ht="15.75" thickBot="1" x14ac:dyDescent="0.3">
      <c r="A200" s="50"/>
      <c r="B200" s="53"/>
      <c r="C200" s="24" t="s">
        <v>1229</v>
      </c>
    </row>
    <row r="201" spans="1:3" ht="15.75" thickBot="1" x14ac:dyDescent="0.3">
      <c r="A201" s="50"/>
      <c r="B201" s="53"/>
      <c r="C201" s="24" t="s">
        <v>1230</v>
      </c>
    </row>
    <row r="202" spans="1:3" ht="15.75" thickBot="1" x14ac:dyDescent="0.3">
      <c r="A202" s="50"/>
      <c r="B202" s="53"/>
      <c r="C202" s="24" t="s">
        <v>1231</v>
      </c>
    </row>
    <row r="203" spans="1:3" ht="15.75" thickBot="1" x14ac:dyDescent="0.3">
      <c r="A203" s="50"/>
      <c r="B203" s="53"/>
      <c r="C203" s="24" t="s">
        <v>1253</v>
      </c>
    </row>
    <row r="204" spans="1:3" ht="15.75" thickBot="1" x14ac:dyDescent="0.3">
      <c r="A204" s="50"/>
      <c r="B204" s="54"/>
      <c r="C204" s="24" t="s">
        <v>1254</v>
      </c>
    </row>
    <row r="205" spans="1:3" ht="30.75" thickBot="1" x14ac:dyDescent="0.3">
      <c r="A205" s="50"/>
      <c r="B205" s="52" t="s">
        <v>1255</v>
      </c>
      <c r="C205" s="24" t="s">
        <v>1256</v>
      </c>
    </row>
    <row r="206" spans="1:3" ht="15.75" thickBot="1" x14ac:dyDescent="0.3">
      <c r="A206" s="50"/>
      <c r="B206" s="53"/>
      <c r="C206" s="24" t="s">
        <v>1257</v>
      </c>
    </row>
    <row r="207" spans="1:3" ht="15.75" thickBot="1" x14ac:dyDescent="0.3">
      <c r="A207" s="50"/>
      <c r="B207" s="53"/>
      <c r="C207" s="24" t="s">
        <v>1237</v>
      </c>
    </row>
    <row r="208" spans="1:3" ht="15.75" thickBot="1" x14ac:dyDescent="0.3">
      <c r="A208" s="50"/>
      <c r="B208" s="53"/>
      <c r="C208" s="24" t="s">
        <v>1258</v>
      </c>
    </row>
    <row r="209" spans="1:3" ht="30.75" thickBot="1" x14ac:dyDescent="0.3">
      <c r="A209" s="50"/>
      <c r="B209" s="53"/>
      <c r="C209" s="24" t="s">
        <v>1259</v>
      </c>
    </row>
    <row r="210" spans="1:3" ht="15.75" thickBot="1" x14ac:dyDescent="0.3">
      <c r="A210" s="50"/>
      <c r="B210" s="53"/>
      <c r="C210" s="24" t="s">
        <v>1260</v>
      </c>
    </row>
    <row r="211" spans="1:3" ht="15.75" thickBot="1" x14ac:dyDescent="0.3">
      <c r="A211" s="50"/>
      <c r="B211" s="54"/>
      <c r="C211" s="24" t="s">
        <v>1261</v>
      </c>
    </row>
    <row r="212" spans="1:3" ht="15.75" thickBot="1" x14ac:dyDescent="0.3">
      <c r="A212" s="50"/>
      <c r="B212" s="52" t="s">
        <v>1262</v>
      </c>
      <c r="C212" s="24" t="s">
        <v>1240</v>
      </c>
    </row>
    <row r="213" spans="1:3" ht="15.75" thickBot="1" x14ac:dyDescent="0.3">
      <c r="A213" s="50"/>
      <c r="B213" s="53"/>
      <c r="C213" s="24" t="s">
        <v>1263</v>
      </c>
    </row>
    <row r="214" spans="1:3" ht="15.75" thickBot="1" x14ac:dyDescent="0.3">
      <c r="A214" s="50"/>
      <c r="B214" s="53"/>
      <c r="C214" s="24" t="s">
        <v>1264</v>
      </c>
    </row>
    <row r="215" spans="1:3" ht="15.75" thickBot="1" x14ac:dyDescent="0.3">
      <c r="A215" s="50"/>
      <c r="B215" s="53"/>
      <c r="C215" s="24" t="s">
        <v>1265</v>
      </c>
    </row>
    <row r="216" spans="1:3" ht="15.75" thickBot="1" x14ac:dyDescent="0.3">
      <c r="A216" s="50"/>
      <c r="B216" s="53"/>
      <c r="C216" s="24" t="s">
        <v>1266</v>
      </c>
    </row>
    <row r="217" spans="1:3" ht="15.75" thickBot="1" x14ac:dyDescent="0.3">
      <c r="A217" s="51"/>
      <c r="B217" s="54"/>
      <c r="C217" s="24" t="s">
        <v>1267</v>
      </c>
    </row>
    <row r="218" spans="1:3" ht="15.75" thickBot="1" x14ac:dyDescent="0.3">
      <c r="A218" s="49" t="s">
        <v>1268</v>
      </c>
      <c r="B218" s="52" t="s">
        <v>1269</v>
      </c>
      <c r="C218" s="24" t="s">
        <v>1270</v>
      </c>
    </row>
    <row r="219" spans="1:3" ht="15.75" thickBot="1" x14ac:dyDescent="0.3">
      <c r="A219" s="50"/>
      <c r="B219" s="53"/>
      <c r="C219" s="24" t="s">
        <v>1271</v>
      </c>
    </row>
    <row r="220" spans="1:3" ht="15.75" thickBot="1" x14ac:dyDescent="0.3">
      <c r="A220" s="50"/>
      <c r="B220" s="53"/>
      <c r="C220" s="24" t="s">
        <v>1272</v>
      </c>
    </row>
    <row r="221" spans="1:3" ht="15.75" thickBot="1" x14ac:dyDescent="0.3">
      <c r="A221" s="50"/>
      <c r="B221" s="53"/>
      <c r="C221" s="24" t="s">
        <v>1273</v>
      </c>
    </row>
    <row r="222" spans="1:3" ht="15.75" thickBot="1" x14ac:dyDescent="0.3">
      <c r="A222" s="50"/>
      <c r="B222" s="53"/>
      <c r="C222" s="24" t="s">
        <v>1274</v>
      </c>
    </row>
    <row r="223" spans="1:3" ht="15.75" thickBot="1" x14ac:dyDescent="0.3">
      <c r="A223" s="51"/>
      <c r="B223" s="54"/>
      <c r="C223" s="24" t="s">
        <v>1275</v>
      </c>
    </row>
    <row r="224" spans="1:3" ht="30.75" thickBot="1" x14ac:dyDescent="0.3">
      <c r="A224" s="49" t="s">
        <v>1276</v>
      </c>
      <c r="B224" s="52" t="s">
        <v>1277</v>
      </c>
      <c r="C224" s="24" t="s">
        <v>1278</v>
      </c>
    </row>
    <row r="225" spans="1:3" ht="15.75" thickBot="1" x14ac:dyDescent="0.3">
      <c r="A225" s="50"/>
      <c r="B225" s="53"/>
      <c r="C225" s="24" t="s">
        <v>1279</v>
      </c>
    </row>
    <row r="226" spans="1:3" ht="15.75" thickBot="1" x14ac:dyDescent="0.3">
      <c r="A226" s="50"/>
      <c r="B226" s="53"/>
      <c r="C226" s="24" t="s">
        <v>1280</v>
      </c>
    </row>
    <row r="227" spans="1:3" ht="15.75" thickBot="1" x14ac:dyDescent="0.3">
      <c r="A227" s="50"/>
      <c r="B227" s="53"/>
      <c r="C227" s="24" t="s">
        <v>1281</v>
      </c>
    </row>
    <row r="228" spans="1:3" ht="30.75" thickBot="1" x14ac:dyDescent="0.3">
      <c r="A228" s="50"/>
      <c r="B228" s="53"/>
      <c r="C228" s="24" t="s">
        <v>1282</v>
      </c>
    </row>
    <row r="229" spans="1:3" ht="30.75" thickBot="1" x14ac:dyDescent="0.3">
      <c r="A229" s="51"/>
      <c r="B229" s="54"/>
      <c r="C229" s="24" t="s">
        <v>1283</v>
      </c>
    </row>
    <row r="230" spans="1:3" ht="15.75" thickBot="1" x14ac:dyDescent="0.3">
      <c r="A230" s="49" t="s">
        <v>1284</v>
      </c>
      <c r="B230" s="52" t="s">
        <v>1285</v>
      </c>
      <c r="C230" s="24" t="s">
        <v>1286</v>
      </c>
    </row>
    <row r="231" spans="1:3" ht="15.75" thickBot="1" x14ac:dyDescent="0.3">
      <c r="A231" s="50"/>
      <c r="B231" s="53"/>
      <c r="C231" s="24" t="s">
        <v>1287</v>
      </c>
    </row>
    <row r="232" spans="1:3" ht="15.75" thickBot="1" x14ac:dyDescent="0.3">
      <c r="A232" s="51"/>
      <c r="B232" s="54"/>
      <c r="C232" s="24" t="s">
        <v>1288</v>
      </c>
    </row>
    <row r="233" spans="1:3" ht="15.75" thickBot="1" x14ac:dyDescent="0.3">
      <c r="A233" s="49" t="s">
        <v>1289</v>
      </c>
      <c r="B233" s="28" t="s">
        <v>1290</v>
      </c>
      <c r="C233" s="24"/>
    </row>
    <row r="234" spans="1:3" ht="15.75" thickBot="1" x14ac:dyDescent="0.3">
      <c r="A234" s="50"/>
      <c r="B234" s="28" t="s">
        <v>1291</v>
      </c>
      <c r="C234" s="24"/>
    </row>
    <row r="235" spans="1:3" ht="15.75" thickBot="1" x14ac:dyDescent="0.3">
      <c r="A235" s="50"/>
      <c r="B235" s="28" t="s">
        <v>1292</v>
      </c>
      <c r="C235" s="24"/>
    </row>
    <row r="236" spans="1:3" ht="15.75" thickBot="1" x14ac:dyDescent="0.3">
      <c r="A236" s="50"/>
      <c r="B236" s="28" t="s">
        <v>1293</v>
      </c>
      <c r="C236" s="24"/>
    </row>
    <row r="237" spans="1:3" ht="15.75" thickBot="1" x14ac:dyDescent="0.3">
      <c r="A237" s="50"/>
      <c r="B237" s="28" t="s">
        <v>1294</v>
      </c>
      <c r="C237" s="24"/>
    </row>
    <row r="238" spans="1:3" ht="15.75" thickBot="1" x14ac:dyDescent="0.3">
      <c r="A238" s="50"/>
      <c r="B238" s="28" t="s">
        <v>1295</v>
      </c>
      <c r="C238" s="24"/>
    </row>
    <row r="239" spans="1:3" ht="15.75" thickBot="1" x14ac:dyDescent="0.3">
      <c r="A239" s="50"/>
      <c r="B239" s="28" t="s">
        <v>1296</v>
      </c>
      <c r="C239" s="24"/>
    </row>
    <row r="240" spans="1:3" ht="15.75" thickBot="1" x14ac:dyDescent="0.3">
      <c r="A240" s="51"/>
      <c r="B240" s="28" t="s">
        <v>1297</v>
      </c>
      <c r="C240" s="24"/>
    </row>
    <row r="241" spans="1:3" ht="15.75" thickBot="1" x14ac:dyDescent="0.3">
      <c r="A241" s="49" t="s">
        <v>1298</v>
      </c>
      <c r="B241" s="28" t="s">
        <v>1299</v>
      </c>
      <c r="C241" s="24"/>
    </row>
    <row r="242" spans="1:3" ht="15.75" thickBot="1" x14ac:dyDescent="0.3">
      <c r="A242" s="50"/>
      <c r="B242" s="49" t="s">
        <v>1300</v>
      </c>
      <c r="C242" s="24" t="s">
        <v>1301</v>
      </c>
    </row>
    <row r="243" spans="1:3" ht="15.75" thickBot="1" x14ac:dyDescent="0.3">
      <c r="A243" s="50"/>
      <c r="B243" s="50"/>
      <c r="C243" s="24" t="s">
        <v>1302</v>
      </c>
    </row>
    <row r="244" spans="1:3" ht="15.75" thickBot="1" x14ac:dyDescent="0.3">
      <c r="A244" s="50"/>
      <c r="B244" s="50"/>
      <c r="C244" s="24" t="s">
        <v>1303</v>
      </c>
    </row>
    <row r="245" spans="1:3" ht="15.75" thickBot="1" x14ac:dyDescent="0.3">
      <c r="A245" s="50"/>
      <c r="B245" s="51"/>
      <c r="C245" s="24" t="s">
        <v>1304</v>
      </c>
    </row>
    <row r="246" spans="1:3" ht="15.75" thickBot="1" x14ac:dyDescent="0.3">
      <c r="A246" s="50"/>
      <c r="B246" s="49" t="s">
        <v>1305</v>
      </c>
      <c r="C246" s="24" t="s">
        <v>1306</v>
      </c>
    </row>
    <row r="247" spans="1:3" ht="15.75" thickBot="1" x14ac:dyDescent="0.3">
      <c r="A247" s="50"/>
      <c r="B247" s="50"/>
      <c r="C247" s="24" t="s">
        <v>1307</v>
      </c>
    </row>
    <row r="248" spans="1:3" ht="15.75" thickBot="1" x14ac:dyDescent="0.3">
      <c r="A248" s="50"/>
      <c r="B248" s="51"/>
      <c r="C248" s="24" t="s">
        <v>1308</v>
      </c>
    </row>
    <row r="249" spans="1:3" ht="15.75" thickBot="1" x14ac:dyDescent="0.3">
      <c r="A249" s="50"/>
      <c r="B249" s="49" t="s">
        <v>1309</v>
      </c>
      <c r="C249" s="24" t="s">
        <v>1310</v>
      </c>
    </row>
    <row r="250" spans="1:3" ht="15.75" thickBot="1" x14ac:dyDescent="0.3">
      <c r="A250" s="50"/>
      <c r="B250" s="50"/>
      <c r="C250" s="24" t="s">
        <v>1311</v>
      </c>
    </row>
    <row r="251" spans="1:3" ht="15.75" thickBot="1" x14ac:dyDescent="0.3">
      <c r="A251" s="50"/>
      <c r="B251" s="50"/>
      <c r="C251" s="24" t="s">
        <v>1312</v>
      </c>
    </row>
    <row r="252" spans="1:3" ht="15.75" thickBot="1" x14ac:dyDescent="0.3">
      <c r="A252" s="50"/>
      <c r="B252" s="51"/>
      <c r="C252" s="24" t="s">
        <v>1313</v>
      </c>
    </row>
    <row r="253" spans="1:3" ht="15.75" thickBot="1" x14ac:dyDescent="0.3">
      <c r="A253" s="50"/>
      <c r="B253" s="49" t="s">
        <v>1314</v>
      </c>
      <c r="C253" s="24" t="s">
        <v>1315</v>
      </c>
    </row>
    <row r="254" spans="1:3" ht="15.75" thickBot="1" x14ac:dyDescent="0.3">
      <c r="A254" s="50"/>
      <c r="B254" s="50"/>
      <c r="C254" s="24" t="s">
        <v>1316</v>
      </c>
    </row>
    <row r="255" spans="1:3" ht="15.75" thickBot="1" x14ac:dyDescent="0.3">
      <c r="A255" s="50"/>
      <c r="B255" s="51"/>
      <c r="C255" s="24" t="s">
        <v>1317</v>
      </c>
    </row>
    <row r="256" spans="1:3" ht="15.75" thickBot="1" x14ac:dyDescent="0.3">
      <c r="A256" s="50"/>
      <c r="B256" s="28" t="s">
        <v>1318</v>
      </c>
      <c r="C256" s="24"/>
    </row>
    <row r="257" spans="1:3" ht="15.75" thickBot="1" x14ac:dyDescent="0.3">
      <c r="A257" s="50"/>
      <c r="B257" s="49" t="s">
        <v>1300</v>
      </c>
      <c r="C257" s="24" t="s">
        <v>1319</v>
      </c>
    </row>
    <row r="258" spans="1:3" ht="15.75" thickBot="1" x14ac:dyDescent="0.3">
      <c r="A258" s="50"/>
      <c r="B258" s="50"/>
      <c r="C258" s="24" t="s">
        <v>1320</v>
      </c>
    </row>
    <row r="259" spans="1:3" ht="15.75" thickBot="1" x14ac:dyDescent="0.3">
      <c r="A259" s="50"/>
      <c r="B259" s="50"/>
      <c r="C259" s="24" t="s">
        <v>1321</v>
      </c>
    </row>
    <row r="260" spans="1:3" ht="15.75" thickBot="1" x14ac:dyDescent="0.3">
      <c r="A260" s="50"/>
      <c r="B260" s="51"/>
      <c r="C260" s="24" t="s">
        <v>1322</v>
      </c>
    </row>
    <row r="261" spans="1:3" ht="15.75" thickBot="1" x14ac:dyDescent="0.3">
      <c r="A261" s="50"/>
      <c r="B261" s="49" t="s">
        <v>1305</v>
      </c>
      <c r="C261" s="24" t="s">
        <v>1323</v>
      </c>
    </row>
    <row r="262" spans="1:3" ht="15.75" thickBot="1" x14ac:dyDescent="0.3">
      <c r="A262" s="50"/>
      <c r="B262" s="50"/>
      <c r="C262" s="24" t="s">
        <v>1324</v>
      </c>
    </row>
    <row r="263" spans="1:3" ht="15.75" thickBot="1" x14ac:dyDescent="0.3">
      <c r="A263" s="50"/>
      <c r="B263" s="51"/>
      <c r="C263" s="24" t="s">
        <v>1325</v>
      </c>
    </row>
    <row r="264" spans="1:3" ht="15.75" thickBot="1" x14ac:dyDescent="0.3">
      <c r="A264" s="50"/>
      <c r="B264" s="49" t="s">
        <v>1309</v>
      </c>
      <c r="C264" s="24" t="s">
        <v>1326</v>
      </c>
    </row>
    <row r="265" spans="1:3" ht="15.75" thickBot="1" x14ac:dyDescent="0.3">
      <c r="A265" s="50"/>
      <c r="B265" s="50"/>
      <c r="C265" s="24" t="s">
        <v>1327</v>
      </c>
    </row>
    <row r="266" spans="1:3" ht="15.75" thickBot="1" x14ac:dyDescent="0.3">
      <c r="A266" s="50"/>
      <c r="B266" s="50"/>
      <c r="C266" s="24" t="s">
        <v>1328</v>
      </c>
    </row>
    <row r="267" spans="1:3" ht="15.75" thickBot="1" x14ac:dyDescent="0.3">
      <c r="A267" s="50"/>
      <c r="B267" s="51"/>
      <c r="C267" s="24" t="s">
        <v>1329</v>
      </c>
    </row>
    <row r="268" spans="1:3" ht="15.75" thickBot="1" x14ac:dyDescent="0.3">
      <c r="A268" s="50"/>
      <c r="B268" s="49" t="s">
        <v>1314</v>
      </c>
      <c r="C268" s="24" t="s">
        <v>1330</v>
      </c>
    </row>
    <row r="269" spans="1:3" ht="15.75" thickBot="1" x14ac:dyDescent="0.3">
      <c r="A269" s="50"/>
      <c r="B269" s="50"/>
      <c r="C269" s="24" t="s">
        <v>1331</v>
      </c>
    </row>
    <row r="270" spans="1:3" ht="15.75" thickBot="1" x14ac:dyDescent="0.3">
      <c r="A270" s="51"/>
      <c r="B270" s="51"/>
      <c r="C270" s="24" t="s">
        <v>1332</v>
      </c>
    </row>
  </sheetData>
  <mergeCells count="67">
    <mergeCell ref="A76:A79"/>
    <mergeCell ref="A2:C2"/>
    <mergeCell ref="A3:A75"/>
    <mergeCell ref="B3:B10"/>
    <mergeCell ref="B11:B21"/>
    <mergeCell ref="B22:B33"/>
    <mergeCell ref="B34:B36"/>
    <mergeCell ref="B38:B40"/>
    <mergeCell ref="B41:B43"/>
    <mergeCell ref="B44:B46"/>
    <mergeCell ref="B47:B50"/>
    <mergeCell ref="B51:B55"/>
    <mergeCell ref="B56:B60"/>
    <mergeCell ref="B61:B64"/>
    <mergeCell ref="B65:B69"/>
    <mergeCell ref="B70:B75"/>
    <mergeCell ref="B150:B151"/>
    <mergeCell ref="A80:A89"/>
    <mergeCell ref="A90:A128"/>
    <mergeCell ref="B90:B97"/>
    <mergeCell ref="B98:B109"/>
    <mergeCell ref="B110:B115"/>
    <mergeCell ref="B116:B123"/>
    <mergeCell ref="B124:B128"/>
    <mergeCell ref="B152:B153"/>
    <mergeCell ref="A154:A162"/>
    <mergeCell ref="B154:B155"/>
    <mergeCell ref="B156:B162"/>
    <mergeCell ref="A163:A170"/>
    <mergeCell ref="B163:B167"/>
    <mergeCell ref="B168:B170"/>
    <mergeCell ref="A129:A153"/>
    <mergeCell ref="B129:B133"/>
    <mergeCell ref="B134:B135"/>
    <mergeCell ref="B136:B138"/>
    <mergeCell ref="B139:B141"/>
    <mergeCell ref="B142:B143"/>
    <mergeCell ref="B144:B145"/>
    <mergeCell ref="B146:B147"/>
    <mergeCell ref="B148:B149"/>
    <mergeCell ref="A218:A223"/>
    <mergeCell ref="B218:B223"/>
    <mergeCell ref="A171:C171"/>
    <mergeCell ref="A172:A189"/>
    <mergeCell ref="B172:B176"/>
    <mergeCell ref="B177:B183"/>
    <mergeCell ref="B184:B187"/>
    <mergeCell ref="B188:B189"/>
    <mergeCell ref="A190:A217"/>
    <mergeCell ref="B190:B197"/>
    <mergeCell ref="B198:B204"/>
    <mergeCell ref="B205:B211"/>
    <mergeCell ref="B212:B217"/>
    <mergeCell ref="B257:B260"/>
    <mergeCell ref="B261:B263"/>
    <mergeCell ref="B264:B267"/>
    <mergeCell ref="B268:B270"/>
    <mergeCell ref="A224:A229"/>
    <mergeCell ref="B224:B229"/>
    <mergeCell ref="A230:A232"/>
    <mergeCell ref="B230:B232"/>
    <mergeCell ref="A233:A240"/>
    <mergeCell ref="A241:A270"/>
    <mergeCell ref="B242:B245"/>
    <mergeCell ref="B246:B248"/>
    <mergeCell ref="B249:B252"/>
    <mergeCell ref="B253:B25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HAZOP</vt:lpstr>
      <vt:lpstr>STAMP</vt:lpstr>
      <vt:lpstr>FRAM</vt:lpstr>
      <vt:lpstr>AIC_case_1</vt:lpstr>
      <vt:lpstr>AIC_case_2</vt:lpstr>
      <vt:lpstr>Appendix A Land+Air ODD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Haider Al-Shareefy</dc:creator>
  <cp:lastModifiedBy>Haider Al-Shareefy</cp:lastModifiedBy>
  <dcterms:created xsi:type="dcterms:W3CDTF">2026-01-21T19:16:50Z</dcterms:created>
  <dcterms:modified xsi:type="dcterms:W3CDTF">2026-03-18T11:45:05Z</dcterms:modified>
</cp:coreProperties>
</file>